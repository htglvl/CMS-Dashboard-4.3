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C:\Users\Susan\Downloads\"/>
    </mc:Choice>
  </mc:AlternateContent>
  <xr:revisionPtr revIDLastSave="0" documentId="8_{0511DA39-69EA-4156-963C-10A6993C3549}" xr6:coauthVersionLast="47" xr6:coauthVersionMax="47" xr10:uidLastSave="{00000000-0000-0000-0000-000000000000}"/>
  <bookViews>
    <workbookView xWindow="-108" yWindow="-108" windowWidth="23256" windowHeight="13896" xr2:uid="{E8977E21-1B61-4FCC-AF97-D5E1D8870FB1}"/>
  </bookViews>
  <sheets>
    <sheet name="Sheet1" sheetId="1" r:id="rId1"/>
    <sheet name="Sheet2" sheetId="2" r:id="rId2"/>
    <sheet name="Sheet3" sheetId="3" r:id="rId3"/>
  </sheets>
  <definedNames>
    <definedName name="_xlnm._FilterDatabase" localSheetId="0" hidden="1">Sheet1!$A$2:$AM$119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3" l="1"/>
</calcChain>
</file>

<file path=xl/sharedStrings.xml><?xml version="1.0" encoding="utf-8"?>
<sst xmlns="http://schemas.openxmlformats.org/spreadsheetml/2006/main" count="835" uniqueCount="449">
  <si>
    <t xml:space="preserve">Borderlands BOOST Project: Long List of possible Car Club Locations </t>
  </si>
  <si>
    <t xml:space="preserve">Town/ Village </t>
  </si>
  <si>
    <t xml:space="preserve">Potential Sites </t>
  </si>
  <si>
    <t xml:space="preserve">Brief Description </t>
  </si>
  <si>
    <t xml:space="preserve">Local Authority Area </t>
  </si>
  <si>
    <t xml:space="preserve">Contact </t>
  </si>
  <si>
    <t xml:space="preserve">Email </t>
  </si>
  <si>
    <t xml:space="preserve">Notes </t>
  </si>
  <si>
    <t>Developments</t>
  </si>
  <si>
    <t>Adams Rec Ground</t>
  </si>
  <si>
    <t>TBC</t>
  </si>
  <si>
    <t>Exisiting V2X in St Bees</t>
  </si>
  <si>
    <t xml:space="preserve">Cumberland </t>
  </si>
  <si>
    <t>Amy Linton / Michael Rowell</t>
  </si>
  <si>
    <t>amylinton1983@gmail.com</t>
  </si>
  <si>
    <t>Emailed host 21/04</t>
  </si>
  <si>
    <t>Allithwaite / Cartmel</t>
  </si>
  <si>
    <t>Village Hall / Church</t>
  </si>
  <si>
    <t xml:space="preserve">Responded to EV Survey potential interest </t>
  </si>
  <si>
    <t>clerk@allithwaiteandcartmel-pc.gov.uk</t>
  </si>
  <si>
    <t xml:space="preserve">Followed up with email from Survey </t>
  </si>
  <si>
    <t>Allonby</t>
  </si>
  <si>
    <t>Susan Anderson</t>
  </si>
  <si>
    <t>info@allonby-pc.org.uk</t>
  </si>
  <si>
    <t xml:space="preserve">Alnwick </t>
  </si>
  <si>
    <t xml:space="preserve">No defined need but potential  scale </t>
  </si>
  <si>
    <t xml:space="preserve">Northumberland </t>
  </si>
  <si>
    <t xml:space="preserve">NEED Potentially Joe </t>
  </si>
  <si>
    <t xml:space="preserve">enquiries@needltd.co.uk; alnwickcommunitycentre@btinternet.com; </t>
  </si>
  <si>
    <t xml:space="preserve">NEED Ltd are a lead CT provider. WCT do have contact with NEED (Joe). Alnwick community centre may be a good contact to start with community engagement. </t>
  </si>
  <si>
    <t xml:space="preserve">Alston </t>
  </si>
  <si>
    <t xml:space="preserve">TBC </t>
  </si>
  <si>
    <t xml:space="preserve">Some initial interest, scale may be issue. </t>
  </si>
  <si>
    <t xml:space="preserve">Westmorland and Westmorland &amp; Furness </t>
  </si>
  <si>
    <t>Hazel Hanley</t>
  </si>
  <si>
    <t>haze.hanley@gmail.com</t>
  </si>
  <si>
    <t>Initial interest led to a informal chat and presenetaion by DVCC in previous years. Followed up with email from JLJ  21/04/26 awaiting a response</t>
  </si>
  <si>
    <t xml:space="preserve">Alston Moor PC </t>
  </si>
  <si>
    <t>Michael Hanley</t>
  </si>
  <si>
    <t>michaeltimhanley@yahoo.co.uk</t>
  </si>
  <si>
    <t xml:space="preserve">Alston Moor Business Assoication </t>
  </si>
  <si>
    <t>Responded to the EV Survey</t>
  </si>
  <si>
    <t>Ian Grey</t>
  </si>
  <si>
    <t>ian@acumenis.co.uk</t>
  </si>
  <si>
    <t xml:space="preserve">Amble </t>
  </si>
  <si>
    <t xml:space="preserve">Expressed interest in Car Club and were engaged with CCiaB development </t>
  </si>
  <si>
    <t xml:space="preserve">Julia Aston </t>
  </si>
  <si>
    <t>julia@ambledevelopmenttrust.org.uk</t>
  </si>
  <si>
    <t>Initial contact through David Malone Followed up with email from JLJ 21/04/26</t>
  </si>
  <si>
    <t>Email forwarded to Neighbourhood Plan Development Team and Amble Town Council as it is consistent with work we are doing collaboratively together.The last interaction we had with CCiaB did not create overly positive responses but the global situation has now developed</t>
  </si>
  <si>
    <t>Ambleside Rugby Club</t>
  </si>
  <si>
    <t>Rugby Club</t>
  </si>
  <si>
    <t xml:space="preserve">Westmorland &amp; Furness </t>
  </si>
  <si>
    <t>Will Clark (local Cllr)</t>
  </si>
  <si>
    <t>Will to contact club to assess</t>
  </si>
  <si>
    <t xml:space="preserve">Appleby in Westmorland </t>
  </si>
  <si>
    <t xml:space="preserve">No need defined </t>
  </si>
  <si>
    <t>applebyvillagehall@gmail.com</t>
  </si>
  <si>
    <t>Parking not open to public - only for visitors to events</t>
  </si>
  <si>
    <t>Generic email sent</t>
  </si>
  <si>
    <t>Arnside</t>
  </si>
  <si>
    <t>Educational Institute</t>
  </si>
  <si>
    <t>Exisiting CMS site. Host can be tricky to deal with.</t>
  </si>
  <si>
    <t>Diane</t>
  </si>
  <si>
    <t>arnsideei@gmail.com</t>
  </si>
  <si>
    <t>Pressures on parking. Better site may be Village Hall</t>
  </si>
  <si>
    <t xml:space="preserve">Ashington </t>
  </si>
  <si>
    <t>WATBus Potentially Debbie Smith. KIP Potentially Kevin Richardson</t>
  </si>
  <si>
    <t>"karen@watbus.org.uk" &lt;karen@watbus.org.uk&gt;</t>
  </si>
  <si>
    <t xml:space="preserve">WATBus and KIP Transport are CT providers in this area. Family Hubs Northumberland may be a good contact for community engagement. </t>
  </si>
  <si>
    <t>LJ has contacted Karen at WATBUS with an intro email to BOOST &amp; ROUTES, and asked for a online. Meetng with Karen, SR, KW, LJJ, E  13th May. Karen confirmed barry would be keen to work with this project and will send potentail community and sites over along with contacts</t>
  </si>
  <si>
    <t>Barbon VH</t>
  </si>
  <si>
    <t>Rcommended by Cllr - probably too far out</t>
  </si>
  <si>
    <t>Jacquie Huddlestone</t>
  </si>
  <si>
    <t>jacquiehuddleston12@gmail.com</t>
  </si>
  <si>
    <t>Poor business case for BOOST</t>
  </si>
  <si>
    <t>Conversations ongoing about basic offering</t>
  </si>
  <si>
    <t>Bardon Mill</t>
  </si>
  <si>
    <t>Tom looking at funding</t>
  </si>
  <si>
    <t xml:space="preserve">Bid submitted to NPG Foundation </t>
  </si>
  <si>
    <t xml:space="preserve">Barrow in Westmorland &amp; Furness </t>
  </si>
  <si>
    <t>Need to identify a site</t>
  </si>
  <si>
    <t xml:space="preserve">Bedlington </t>
  </si>
  <si>
    <t xml:space="preserve">Kip Potentially Kevin Richardson </t>
  </si>
  <si>
    <t>admin@kiptransport.co.uk: familyhubs@northumberland.gov.uk</t>
  </si>
  <si>
    <t xml:space="preserve">KIP Transport. There is a Community Help Hub based in this area. As Above Family Hubs Northumberland for community engagement. </t>
  </si>
  <si>
    <t xml:space="preserve">Belford </t>
  </si>
  <si>
    <t xml:space="preserve">Bell View </t>
  </si>
  <si>
    <t xml:space="preserve">Responded to EV Survey potential interest. Also suggested by Marc at CAN as they run CT. </t>
  </si>
  <si>
    <t>Paul Harrison</t>
  </si>
  <si>
    <t>bellviewbelford@hotmail.co.uk</t>
  </si>
  <si>
    <t xml:space="preserve">Followed up with Email from Survey </t>
  </si>
  <si>
    <t xml:space="preserve">Bellingham </t>
  </si>
  <si>
    <t xml:space="preserve">No defined need, may be complex due to rurality </t>
  </si>
  <si>
    <t>bellinghamct@gmail.com</t>
  </si>
  <si>
    <t>Upper Coquetdale Community Transport Bellingham Community Transport may be a good community engagement contact or potential host site.</t>
  </si>
  <si>
    <t xml:space="preserve">Berwick Upon Tweed </t>
  </si>
  <si>
    <t xml:space="preserve">Did have an Enterprise Car Club situated at the Train Station, recently removed. </t>
  </si>
  <si>
    <t xml:space="preserve">Followed up with ex Enterprise Head of Partnerships Keith Kelly for info and Storm who is the lead on Enterprise provision in Northumberland. </t>
  </si>
  <si>
    <t xml:space="preserve">storm.baines@em.com contact for Northumberland Enterprise clubs </t>
  </si>
  <si>
    <t xml:space="preserve">Meeting 7th May pm </t>
  </si>
  <si>
    <t xml:space="preserve">Blyth </t>
  </si>
  <si>
    <t>Janice.blake@northumberland.gov.uk</t>
  </si>
  <si>
    <t>KIP Transport. As above Family Hubs Northumberland for community engagement.</t>
  </si>
  <si>
    <t xml:space="preserve">Bothel Village Hall, Wigton </t>
  </si>
  <si>
    <t>Raymond Wren</t>
  </si>
  <si>
    <t>wrens5166@gmail.com</t>
  </si>
  <si>
    <t xml:space="preserve">Brampton 2 Zero </t>
  </si>
  <si>
    <t>Phil Furneaux</t>
  </si>
  <si>
    <t>phil.furneaux@icloud.com</t>
  </si>
  <si>
    <t>LJ meeting 30.04.26</t>
  </si>
  <si>
    <t xml:space="preserve">Brampton </t>
  </si>
  <si>
    <t xml:space="preserve">Did express an interest in developing a CC with study undertaken by SCENE </t>
  </si>
  <si>
    <t>Tim Coombe (Chair Sustainable Brampton, Brampton and Beyond Energy and vice Chair Brampton and Beyond Community Trust who are all supporting B2Z)</t>
  </si>
  <si>
    <t>timothycoombe@damhead.me; philferneaux.icloud.com</t>
  </si>
  <si>
    <t>Followed up with Email from Survey. Received an email from Phil Ferneaux Chir/Director Bramptom 2 Zero CIC. Phil has requested a call back. JLJ offered dates on 23rd  24th April</t>
  </si>
  <si>
    <t>Zoom set up  with Phil arranged for midday 30th April. Brampton Community Centre have solar pannels. Brampton 2 Zero are a scoail organisation. Both have tried to work togtehr before but the community centre wanted to take the projet but didnt want the responsibility. Tere is potentail to work in partnership here. sharing the repsobnsibilities. CC Host / 2 Zero could offer the promotion and coordination of the scheme.</t>
  </si>
  <si>
    <t>Brampton CC</t>
  </si>
  <si>
    <t>Existing CMS site</t>
  </si>
  <si>
    <t>James Burke</t>
  </si>
  <si>
    <t>james.burke@bramptoncc.org.uk</t>
  </si>
  <si>
    <t>Active community. Existing site. Rather rural but good potential</t>
  </si>
  <si>
    <t>Organising meeting w/c 04/05</t>
  </si>
  <si>
    <t xml:space="preserve">Brough </t>
  </si>
  <si>
    <t>clerk.broughpc@hotmail.co.uk</t>
  </si>
  <si>
    <t>Calderbridge and Ponsonby</t>
  </si>
  <si>
    <t>Yvonne</t>
  </si>
  <si>
    <t>brian_yt@yahoo.co.uk</t>
  </si>
  <si>
    <t>Cartmel Peninsula</t>
  </si>
  <si>
    <t>Barbara Berry</t>
  </si>
  <si>
    <t>barbaraberry60@icloud.com</t>
  </si>
  <si>
    <t>Casterton</t>
  </si>
  <si>
    <t>R D Murray</t>
  </si>
  <si>
    <t>lowrigg@yahoo.co.uk</t>
  </si>
  <si>
    <t xml:space="preserve">Email received with a realistic reposnse of the experience Richard has a resident. It seems that community spirit is not at the highest in this area. </t>
  </si>
  <si>
    <t xml:space="preserve">Castle Carrock and Geltsdale </t>
  </si>
  <si>
    <t>Richard Johnstone</t>
  </si>
  <si>
    <t>richardwjohnstone4@gmail.com</t>
  </si>
  <si>
    <t>Soon to be a CMS site but not viable and poor comm's</t>
  </si>
  <si>
    <t>Castle Street Kendal</t>
  </si>
  <si>
    <t>Central Kendal. Well used centre with lots of parking</t>
  </si>
  <si>
    <t>David Evans</t>
  </si>
  <si>
    <t>ddaveevans@gmail.com</t>
  </si>
  <si>
    <t>Eamonn can assist with CC</t>
  </si>
  <si>
    <t>Email 09/04. Nudged 21/04. Site visit easy to arrange.</t>
  </si>
  <si>
    <t>Cleator Moor</t>
  </si>
  <si>
    <t xml:space="preserve">Cockermouth </t>
  </si>
  <si>
    <t>Cllr Richard Watson c/o Cockermouth Town Hall, Market Street Cockermouth CA139NP</t>
  </si>
  <si>
    <t xml:space="preserve">rawatson1@live.co.uk; </t>
  </si>
  <si>
    <t xml:space="preserve">Followed up with Email from Survey.  </t>
  </si>
  <si>
    <t>Feasibility study identifed some demand - Had enterprise, no longer (can we find out why enterprise pulled out).  Angela Wakefield has been in touch with them and they are keen on a car.</t>
  </si>
  <si>
    <t xml:space="preserve">Jack and Maria (now left)- Cockermouth CAN </t>
  </si>
  <si>
    <t>jnftatham@hotmail.com;</t>
  </si>
  <si>
    <t xml:space="preserve">Followed up with Email from Survey. Email received from Jack through Angela. Keen to be involved for Cockermouth. </t>
  </si>
  <si>
    <r>
      <rPr>
        <sz val="11"/>
        <color rgb="FF000000"/>
        <rFont val="Aptos Narrow"/>
        <scheme val="minor"/>
      </rPr>
      <t xml:space="preserve">Want to discuss in May. LJ has contacted Jack and Eamonn to offer a meeting on th, 11th &amp; 13th May. 13th May 130pm agreed </t>
    </r>
    <r>
      <rPr>
        <sz val="11"/>
        <color rgb="FFFF0000"/>
        <rFont val="Aptos Narrow"/>
        <scheme val="minor"/>
      </rPr>
      <t>zoom or teams needs set up</t>
    </r>
  </si>
  <si>
    <t xml:space="preserve">Colton Parish Council </t>
  </si>
  <si>
    <t>Marion Brown</t>
  </si>
  <si>
    <t>marion@bestpath.co.uk</t>
  </si>
  <si>
    <t>Followed up with Email from Survey</t>
  </si>
  <si>
    <t>Coniston</t>
  </si>
  <si>
    <t>parish@coniston.info</t>
  </si>
  <si>
    <t>Need to identify site - Coniston Sports &amp; Social Centre? Emailed 21/04</t>
  </si>
  <si>
    <t xml:space="preserve">Corbridge </t>
  </si>
  <si>
    <t xml:space="preserve">TBC - Community Centre </t>
  </si>
  <si>
    <t xml:space="preserve">No demand identified - affluence may dimish need and desire for sharing </t>
  </si>
  <si>
    <t>Parish Clerk: Mrs Lucy Jackson</t>
  </si>
  <si>
    <t>wnct@westnorthumberland.org.uk; clerk@corbridgeparishcouncil.gov.uk</t>
  </si>
  <si>
    <t>West Northumberland Community Transport are a leading CT provider. Corbridge Parish Council are integral to development within the area</t>
  </si>
  <si>
    <t xml:space="preserve">Cramlington </t>
  </si>
  <si>
    <t>admin@kiptransport.co.uk</t>
  </si>
  <si>
    <t xml:space="preserve">KIP Transport. </t>
  </si>
  <si>
    <t>Tom, connection through Sylvia Pringle at NCC to Town Council - may be of interest</t>
  </si>
  <si>
    <t>Dalston</t>
  </si>
  <si>
    <t>DALSTON VICTORY HALL</t>
  </si>
  <si>
    <t xml:space="preserve">Dent </t>
  </si>
  <si>
    <t>Richard Gilbert</t>
  </si>
  <si>
    <t>Richardpgilbert@gmail.com</t>
  </si>
  <si>
    <t>Existing CMS Site. Little engagement. Bit out of the way</t>
  </si>
  <si>
    <t>Docker</t>
  </si>
  <si>
    <t xml:space="preserve">Duddon Parish Council </t>
  </si>
  <si>
    <t>Christine Adams</t>
  </si>
  <si>
    <t>info@duddonparishcouncil.org.uk</t>
  </si>
  <si>
    <t xml:space="preserve">Eaglesfield Village Cockermouth Cumbria </t>
  </si>
  <si>
    <t>Clare Welford</t>
  </si>
  <si>
    <t xml:space="preserve">welfordclare@gmail.com </t>
  </si>
  <si>
    <t>Has V2X charger in place - could work if needed but commercially not ideal</t>
  </si>
  <si>
    <t xml:space="preserve">Firbank Parish Meeting </t>
  </si>
  <si>
    <t>firbankparish@gmail.com</t>
  </si>
  <si>
    <t xml:space="preserve">Ford and Etal </t>
  </si>
  <si>
    <t xml:space="preserve">Previous interest in Car Club </t>
  </si>
  <si>
    <t>bewatson@btinternet.com</t>
  </si>
  <si>
    <t>Followed up with email from JLJ  21/04/26</t>
  </si>
  <si>
    <t xml:space="preserve">LH will follow this up, once the other contacts come back with their selected dates. </t>
  </si>
  <si>
    <t>Garsdale</t>
  </si>
  <si>
    <t>Office@lucidos.co.uk</t>
  </si>
  <si>
    <t>annette.colton@lucidos.co.uk</t>
  </si>
  <si>
    <t>Gilsland</t>
  </si>
  <si>
    <t>Community pub</t>
  </si>
  <si>
    <t>GoGilsland Were interested in 2019 but have since dissolved</t>
  </si>
  <si>
    <t>Gosforth</t>
  </si>
  <si>
    <t>Gosforth Public Hall</t>
  </si>
  <si>
    <t xml:space="preserve">Grange Over Sands </t>
  </si>
  <si>
    <t>No need defined  - no site available</t>
  </si>
  <si>
    <t>No suitable location for use cases</t>
  </si>
  <si>
    <t xml:space="preserve">Greysouthern </t>
  </si>
  <si>
    <t xml:space="preserve">Interest through Keswick and Cockermouth Study </t>
  </si>
  <si>
    <t>Lee Jackson</t>
  </si>
  <si>
    <t>lmjvm8@gmail.com</t>
  </si>
  <si>
    <t>Thursday 7th May at midday offered for first meeting</t>
  </si>
  <si>
    <t xml:space="preserve">Halton/ Penrith </t>
  </si>
  <si>
    <t xml:space="preserve">Haltwhistle </t>
  </si>
  <si>
    <t xml:space="preserve">No defined need but potential to link along the Tyne Valley </t>
  </si>
  <si>
    <t xml:space="preserve">Julie Gibbon </t>
  </si>
  <si>
    <t xml:space="preserve">secretary@tvcrp.org.uk: admin@haltwhistle.org: chairman@haltwhistle.org: </t>
  </si>
  <si>
    <t>Initial email 21st April. Meeting offered for either: 27th 12:30, 28th 1pm or Thursday 7th 12:30. Julie replied with support of the project for her area and gave further contacts, which have now been emailed. Meeting 130pm 13th May Julie &amp; LJ</t>
  </si>
  <si>
    <t>Two potential sites, Leisure centre and youth centre. Julie has confirmed they are hoping to be a potential community for this project.</t>
  </si>
  <si>
    <t xml:space="preserve">Haydon Bridge </t>
  </si>
  <si>
    <t xml:space="preserve">Helsington and Brigsteer </t>
  </si>
  <si>
    <t>No site currently new village hall being built</t>
  </si>
  <si>
    <t>Jamie Sunderland</t>
  </si>
  <si>
    <t>jamiesland2000@yahoo.co.uk</t>
  </si>
  <si>
    <t xml:space="preserve">Hexham </t>
  </si>
  <si>
    <t>TBC - multiples potential venues</t>
  </si>
  <si>
    <t xml:space="preserve">Significant discussions and interest over many years. Ex Co Wheels Car Club closed approx 10 years ago. Potnetial for multiple vehicles and locations </t>
  </si>
  <si>
    <t>Cllr Derek Kenndey, Jane kevan (clerk TC), Helen, Suzanne Fairless Aitken, Net Zero side - Ariane Baty</t>
  </si>
  <si>
    <t xml:space="preserve">clerk@hexhamtowncouncil.gov.uk;  admin@hexhamcommunity.net; info@adapt-ne.org.uk; </t>
  </si>
  <si>
    <t>ADAPT are a CT provider in the area. Followed up with an email to Derek Kennedy and Ariane Baty from JLJ 21/04/26</t>
  </si>
  <si>
    <t xml:space="preserve">LJJ Chased 30th April </t>
  </si>
  <si>
    <t>"generaloffice@adapt-tynedale.org.uk" &lt;generaloffice@adapt-tynedale.org.uk&gt;</t>
  </si>
  <si>
    <t xml:space="preserve">Humshaugh </t>
  </si>
  <si>
    <t xml:space="preserve">TBC - Village Hall </t>
  </si>
  <si>
    <t xml:space="preserve">Expressed interest to SR, had a small scale version run by shop </t>
  </si>
  <si>
    <t xml:space="preserve">David Wind </t>
  </si>
  <si>
    <t>david@stillwind.co.uk</t>
  </si>
  <si>
    <t>Susan to follow up. Susan has followed this original contact with an email with full BOOST info. We are awaiting a response</t>
  </si>
  <si>
    <t xml:space="preserve">SR chase </t>
  </si>
  <si>
    <t>Hutton Roof</t>
  </si>
  <si>
    <t>Eve Simpson</t>
  </si>
  <si>
    <t>eve.c.simpson@gmail.com</t>
  </si>
  <si>
    <t>Kendal beck Centre</t>
  </si>
  <si>
    <t>Communuty centre just outisde central Kendal</t>
  </si>
  <si>
    <t>Helen Whittaker</t>
  </si>
  <si>
    <t>emailed</t>
  </si>
  <si>
    <t>Emailed . Site looking at solar. Have tried to install here before but financial barriers</t>
  </si>
  <si>
    <t>Keswick Ministries/QMH</t>
  </si>
  <si>
    <t>1 car club vehicle. Potential to develop multiple site/ cars - interest in second site in Keswick</t>
  </si>
  <si>
    <t>Angela Wakefield</t>
  </si>
  <si>
    <t>angelalouiseball@yahoo.co.uk</t>
  </si>
  <si>
    <t xml:space="preserve">Angela keen to be part of the project to exapnd the existing Keswick ECC to a two car club. Keswick Ministries have agreed support </t>
  </si>
  <si>
    <t xml:space="preserve">Eamonn to review the site </t>
  </si>
  <si>
    <t xml:space="preserve">Kirkby Thore </t>
  </si>
  <si>
    <t>Village Hall</t>
  </si>
  <si>
    <t>Lorna Baker</t>
  </si>
  <si>
    <t>lorna@baker6.org.uk / Lorna.Baker@westmorlandandfurness.gov.uk</t>
  </si>
  <si>
    <t>Contact from Cllr. Maybe too rurual.</t>
  </si>
  <si>
    <t>Organising call w/c 04/05</t>
  </si>
  <si>
    <t xml:space="preserve">Kirkby Lonsdale </t>
  </si>
  <si>
    <t>TBC  Rugby club?</t>
  </si>
  <si>
    <t>Site to be identified</t>
  </si>
  <si>
    <t>Ian Mitchell</t>
  </si>
  <si>
    <t>ian.mitchell@westmorlandandfurness.gov.uk</t>
  </si>
  <si>
    <t>Contacted Ian for advice on potential site</t>
  </si>
  <si>
    <t>Kirkoswald</t>
  </si>
  <si>
    <t>Jane Tea</t>
  </si>
  <si>
    <t>janeinrenwick@gmail.com</t>
  </si>
  <si>
    <t>Ladyholme CC</t>
  </si>
  <si>
    <t>Windermere - central, well used community facility</t>
  </si>
  <si>
    <t>Site visit carried out. Host supportive. Good community</t>
  </si>
  <si>
    <t>Lamplugh Parish; Ennerdale &amp; Kinniside Parish</t>
  </si>
  <si>
    <t>Rev Ian Parker</t>
  </si>
  <si>
    <t>BlackSailVicar@outlook.com</t>
  </si>
  <si>
    <t xml:space="preserve">Longtown </t>
  </si>
  <si>
    <t>Community Centre</t>
  </si>
  <si>
    <t>Steph Graham</t>
  </si>
  <si>
    <t>steph.graham@longtowncc.co.uk'</t>
  </si>
  <si>
    <t>In recipt of their own Borderlands funding. Good community</t>
  </si>
  <si>
    <t>emailed 24/04</t>
  </si>
  <si>
    <t>Maryport</t>
  </si>
  <si>
    <t>CASTLE HILL TRUST CIO</t>
  </si>
  <si>
    <t>Need to ID site</t>
  </si>
  <si>
    <t xml:space="preserve">Melbreak Communities, Lorton </t>
  </si>
  <si>
    <t>Aine Kelly and Derek Poate</t>
  </si>
  <si>
    <t>akc.kelly@gmail.com; cdpoate@gmail.com</t>
  </si>
  <si>
    <t>Millom</t>
  </si>
  <si>
    <t>Multiple Sites - Kirksanton VH etc.</t>
  </si>
  <si>
    <t xml:space="preserve">Millom </t>
  </si>
  <si>
    <t xml:space="preserve">Lady Hall </t>
  </si>
  <si>
    <t>adrianne.calsy@gmail.com</t>
  </si>
  <si>
    <t>Millom (TBC)</t>
  </si>
  <si>
    <t>Several potential with interst from local Cllr</t>
  </si>
  <si>
    <t>Andy Pratt</t>
  </si>
  <si>
    <t>Andy.Pratt@cumberland.gov.uk</t>
  </si>
  <si>
    <t>mailed again on 28/04 following initia interest</t>
  </si>
  <si>
    <t xml:space="preserve">Morpeth </t>
  </si>
  <si>
    <t>Newbiggin on Lune</t>
  </si>
  <si>
    <t>jimwardrope</t>
  </si>
  <si>
    <t>jimwardrope@hotmail.com</t>
  </si>
  <si>
    <t xml:space="preserve">Norham </t>
  </si>
  <si>
    <t xml:space="preserve">SR has connections so could open up discussion, no identified need </t>
  </si>
  <si>
    <t xml:space="preserve">Ovingham </t>
  </si>
  <si>
    <t>wnct@westnorthumberland.org.uk: clerk@ovinghamparishcouncil.gov.uk</t>
  </si>
  <si>
    <t>West Northumberland Community Transport are a leading CT provider.Ovingham Parish Council are integral to development within the area</t>
  </si>
  <si>
    <t xml:space="preserve">Parton Parish Council </t>
  </si>
  <si>
    <t xml:space="preserve">Helen Elliott </t>
  </si>
  <si>
    <t>helenelliott1@btinternet.com</t>
  </si>
  <si>
    <t xml:space="preserve">Penrith </t>
  </si>
  <si>
    <t xml:space="preserve">No need defined - 1 co-wheels car club vehicle at the Station - Responded to EV Survey potential interest </t>
  </si>
  <si>
    <t>Richard Waller</t>
  </si>
  <si>
    <t>r.i.waller@keele.ac.uk; office@penrithtowncouncil.gov.uk</t>
  </si>
  <si>
    <t xml:space="preserve">Prudhoe </t>
  </si>
  <si>
    <t xml:space="preserve">TBC - Community spaces inc office next to co-op </t>
  </si>
  <si>
    <t xml:space="preserve">Significant discussions and interest over many years. Ex Co Wheels Car Club closed approx 10 years ago - Interest in current funding approached and emailed for meeting </t>
  </si>
  <si>
    <t>Caroline Warburton</t>
  </si>
  <si>
    <t>cwarburtonpcp@gmail.com</t>
  </si>
  <si>
    <t>Meeting held Monday 16th March 2pm at Prudhoe. Very interested, sent subsequent project summary and offered further site meeting to discuss. Site meeting confirmed for 2pm at CPC Hub with Eamonn, Caroline, Laura Jane &amp; Susan</t>
  </si>
  <si>
    <t xml:space="preserve">Riding Mill </t>
  </si>
  <si>
    <t>wnct@westnorthumberland.org.uk:  clerk@ridingmillparishcouncil.org.uk</t>
  </si>
  <si>
    <t>West Northumberland Community Transport are a leading CT provider.Riding Mill Parish Council integral to development wihtin the area.</t>
  </si>
  <si>
    <t>Roger Dobson</t>
  </si>
  <si>
    <t>Cllr for Corby &amp; Hayton - interested</t>
  </si>
  <si>
    <t>Chased up 28/04</t>
  </si>
  <si>
    <t xml:space="preserve">Rothbury </t>
  </si>
  <si>
    <t>info@needltd.co.uk</t>
  </si>
  <si>
    <t>NEED Ltd are a lead CT provider. WCT do have contact with NEED  (joe). Upper Coquetdale Community Transport.</t>
  </si>
  <si>
    <t>Sedgwick</t>
  </si>
  <si>
    <t>Sylvia Roberts</t>
  </si>
  <si>
    <t>sedgwick.parish@gmail.com</t>
  </si>
  <si>
    <t xml:space="preserve">Skelton Village </t>
  </si>
  <si>
    <t>bob provoncha</t>
  </si>
  <si>
    <t>bobprovoncha@yashoo.co.uk</t>
  </si>
  <si>
    <t>Sleagill</t>
  </si>
  <si>
    <t>Antony Edwards</t>
  </si>
  <si>
    <t>antonyrledwards@hotmail.com</t>
  </si>
  <si>
    <t>Stainton VH</t>
  </si>
  <si>
    <t xml:space="preserve">Out of the way and possible little enthusiasm in terms of volunteers </t>
  </si>
  <si>
    <t>Stanwix Community Centre</t>
  </si>
  <si>
    <t>Exisiting CMS site with potential and interest from local Cllr</t>
  </si>
  <si>
    <t xml:space="preserve">Staveley Kendal </t>
  </si>
  <si>
    <t>Need to confirm site</t>
  </si>
  <si>
    <t xml:space="preserve">Alistair Kirkbride </t>
  </si>
  <si>
    <t>alistair.kirkbride@gmail.com</t>
  </si>
  <si>
    <t xml:space="preserve">Followed up with Email from Survey - Alistair Kirkbride </t>
  </si>
  <si>
    <t>Meeting in Staveley w/c 04/05</t>
  </si>
  <si>
    <t xml:space="preserve">Stocksfield </t>
  </si>
  <si>
    <t>TBC - SICA?</t>
  </si>
  <si>
    <t>Parish Clerk: Mrs Ann Atkinson</t>
  </si>
  <si>
    <t xml:space="preserve">clerk@stocksfield-pc.org.uk </t>
  </si>
  <si>
    <t>West Northumberland Community Transport are a leading CT provider. Stocksfield Parish Council are integral to development within the area</t>
  </si>
  <si>
    <t xml:space="preserve">Ulverston </t>
  </si>
  <si>
    <t>No need defined / no ID'd site</t>
  </si>
  <si>
    <t>Neil Fleming</t>
  </si>
  <si>
    <t>ulverston@outlook.com</t>
  </si>
  <si>
    <t>Underskiddaw Village Hall</t>
  </si>
  <si>
    <t>Out of the way?</t>
  </si>
  <si>
    <t>Walney Island</t>
  </si>
  <si>
    <t>Multiple Sites</t>
  </si>
  <si>
    <t xml:space="preserve">Warwick Bridge </t>
  </si>
  <si>
    <t>Whitehaven</t>
  </si>
  <si>
    <t>Have enterprise car club?</t>
  </si>
  <si>
    <t>Have emailed a contact in Whitehaven</t>
  </si>
  <si>
    <t xml:space="preserve">Wigton </t>
  </si>
  <si>
    <t xml:space="preserve">Wooler </t>
  </si>
  <si>
    <t>TBC - multiples, potential Cheviot Centre</t>
  </si>
  <si>
    <t xml:space="preserve">Glendale Trust expressed interest in Car Club and were engaged with CCiaB development </t>
  </si>
  <si>
    <t xml:space="preserve">Gillian Lowes. </t>
  </si>
  <si>
    <t>gill@wooler.org.uk; nfo@theglendaletrust@gmail.com</t>
  </si>
  <si>
    <t xml:space="preserve">Followed up with email from JLJ  21/04/26 awaiting a response </t>
  </si>
  <si>
    <t>Laura has contacted Glendale Trust Tracey Joneds (secretary to the board) via email</t>
  </si>
  <si>
    <t xml:space="preserve">Workington </t>
  </si>
  <si>
    <t>Enterprise already there</t>
  </si>
  <si>
    <t xml:space="preserve">Yew Tree Hall, Lorton </t>
  </si>
  <si>
    <t>Bardon Mill Village Hall</t>
  </si>
  <si>
    <t xml:space="preserve">Not NCEL. PV Installed – not sure of capacity. Previous energy advice from Jake at CAN </t>
  </si>
  <si>
    <t>Cambo Village Hall</t>
  </si>
  <si>
    <t xml:space="preserve">Not NCEL. PV Installed – not sure of capacity.  Energy Audit Completed by Jake at CAN </t>
  </si>
  <si>
    <t>Corsenside Village Hall</t>
  </si>
  <si>
    <t xml:space="preserve">NCEL - 10.53 kW array (24 panels) 5.2kWh battery storage. Energy Audit Completed by Jake at CAN </t>
  </si>
  <si>
    <t>Longhoughton Sport &amp; Community Centre</t>
  </si>
  <si>
    <t xml:space="preserve">NCEL - 31.6kW array (76 panels) 44.16kWh battery storage. revious energy advice from Jake at CAN </t>
  </si>
  <si>
    <t>Creighton Village Hall, Embleton</t>
  </si>
  <si>
    <t>NCEL - 10.5kw array (25 panels) 10 kWh battery storage</t>
  </si>
  <si>
    <t>Humshaugh Village Hall</t>
  </si>
  <si>
    <t>NCEL - 10.66 kW array (26 panels) 22kWh battery storage</t>
  </si>
  <si>
    <t>Felton Village Hall</t>
  </si>
  <si>
    <t>NCEL - 18.7 kW array (48 panels) 8.28kWh battery storage</t>
  </si>
  <si>
    <t>Carrshield Village Hall</t>
  </si>
  <si>
    <t>NCEL - 6.72kW array (16 panels) 22.08kWh battery storage</t>
  </si>
  <si>
    <t>Thropton Village Hall</t>
  </si>
  <si>
    <t>NCEL - 21.2 kW array (22.08kWh battery storage</t>
  </si>
  <si>
    <t>Newton &amp; Bywell Community Hall</t>
  </si>
  <si>
    <t>NCEL - 10.13 kw array(26 panels) 10.0 kWh battery storage</t>
  </si>
  <si>
    <t>Matthew Ridley Memorial Hall, Falstone</t>
  </si>
  <si>
    <t xml:space="preserve">NCEL - 4.10 kWp array (10 panels) 16.56 kWh Battery. – CAN Energy advice visit being done 29/4/26
</t>
  </si>
  <si>
    <t>Tarset Village Hall</t>
  </si>
  <si>
    <t xml:space="preserve">NCEL - 9.975 kWp array (21 panels) 16.00 kWh battery
</t>
  </si>
  <si>
    <t>Ellingham Village Hall</t>
  </si>
  <si>
    <t>Not NCEL - Energy advice visit done previously</t>
  </si>
  <si>
    <t>Great Whittington Village Hall</t>
  </si>
  <si>
    <t>Hadston House, Amble</t>
  </si>
  <si>
    <t xml:space="preserve">NCEL - Planning submitted for 29.11 kw (71 panels)  and recommended 44.16 kWh battery storage. Previous energy advice from Jake at CAN </t>
  </si>
  <si>
    <t>Longframlington Village Hall</t>
  </si>
  <si>
    <t xml:space="preserve">Not NCEL </t>
  </si>
  <si>
    <t>Shilbottle Village Hall</t>
  </si>
  <si>
    <t>NCEL - Feasibility done and planning approved for 60 solar panels. Recommended 44.16 kWh battery storage</t>
  </si>
  <si>
    <t>Stannington Village Hall</t>
  </si>
  <si>
    <t>The Hearth, Horsley</t>
  </si>
  <si>
    <t xml:space="preserve">NCEL - Only at feasibility stage. Energy Study by Jake at CAN </t>
  </si>
  <si>
    <t>Vyner Park, Swarland</t>
  </si>
  <si>
    <t>NCEL - Planning submitted for 44.28kw (108 panels) . Recommended 44.16 kWh battery storage</t>
  </si>
  <si>
    <t>Seahouses</t>
  </si>
  <si>
    <t xml:space="preserve">Community Hub </t>
  </si>
  <si>
    <t xml:space="preserve">Suggested by Marc at CAN </t>
  </si>
  <si>
    <t xml:space="preserve">Lowick </t>
  </si>
  <si>
    <t xml:space="preserve">Village Hall </t>
  </si>
  <si>
    <t xml:space="preserve">Has existing EVCP </t>
  </si>
  <si>
    <t xml:space="preserve">Community/ area </t>
  </si>
  <si>
    <t xml:space="preserve">County: </t>
  </si>
  <si>
    <t xml:space="preserve">Work undertaken so far </t>
  </si>
  <si>
    <t>Responded to EV Survey?</t>
  </si>
  <si>
    <t xml:space="preserve">Interested in CC dev from survey </t>
  </si>
  <si>
    <t>Contact details available</t>
  </si>
  <si>
    <t>Keswick</t>
  </si>
  <si>
    <t xml:space="preserve">Cumbria </t>
  </si>
  <si>
    <t xml:space="preserve">Feasibility study </t>
  </si>
  <si>
    <t xml:space="preserve">Yes </t>
  </si>
  <si>
    <t xml:space="preserve">Name, email and phone number </t>
  </si>
  <si>
    <t>Cockermouth</t>
  </si>
  <si>
    <t>Hexham</t>
  </si>
  <si>
    <t xml:space="preserve">Consultation through CCIAB and multiple community discussions and consultations </t>
  </si>
  <si>
    <t>Prudhoe</t>
  </si>
  <si>
    <t>Amble</t>
  </si>
  <si>
    <t xml:space="preserve">Sustainable Brampton </t>
  </si>
  <si>
    <t xml:space="preserve">Feasibility Study Undertaken </t>
  </si>
  <si>
    <t xml:space="preserve">Maybe </t>
  </si>
  <si>
    <t xml:space="preserve">Calderbridge &amp; Ponsonby </t>
  </si>
  <si>
    <t>Kirkby Thore</t>
  </si>
  <si>
    <t xml:space="preserve">Staveley, Kendal </t>
  </si>
  <si>
    <t>Interested by small area with limited capacity to develop</t>
  </si>
  <si>
    <t xml:space="preserve">Coniston </t>
  </si>
  <si>
    <t>Allithwaite and Cartmel</t>
  </si>
  <si>
    <t xml:space="preserve">Parton </t>
  </si>
  <si>
    <t>St Bees</t>
  </si>
  <si>
    <t xml:space="preserve">Name and email </t>
  </si>
  <si>
    <t>PACT (Penrith Action for Community Transition)</t>
  </si>
  <si>
    <t>Alston Moor</t>
  </si>
  <si>
    <t>Our area is very rural, with no public transport, no local taxi service and long distances to nearest facilities, causing high levels of isolation for anyone who cant drive, mostly due to age (young or elderly) rather than cost</t>
  </si>
  <si>
    <t>Alston Moor Business Association</t>
  </si>
  <si>
    <t>The community transport scheme is very limited and if anything is shrinking.</t>
  </si>
  <si>
    <t>Future Economic Rural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</si>
</sst>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12"/>
      <color theme="1"/>
      <name val="Aptos Narrow"/>
      <family val="2"/>
      <scheme val="minor"/>
    </font>
    <font>
      <b/>
      <sz val="14"/>
      <color theme="1"/>
      <name val="Aptos Narrow"/>
      <family val="2"/>
      <scheme val="minor"/>
    </font>
    <font>
      <b/>
      <sz val="12"/>
      <color rgb="FF000000"/>
      <name val="Aptos Narrow"/>
    </font>
    <font>
      <sz val="11"/>
      <color rgb="FF000000"/>
      <name val="Aptos Narrow"/>
    </font>
    <font>
      <sz val="10"/>
      <color rgb="FF000000"/>
      <name val="Aptos Narrow"/>
    </font>
    <font>
      <sz val="11"/>
      <color rgb="FF000000"/>
      <name val="Aptos"/>
      <charset val="1"/>
    </font>
    <font>
      <b/>
      <sz val="11"/>
      <color theme="1"/>
      <name val="Aptos Narrow"/>
      <family val="2"/>
      <scheme val="minor"/>
    </font>
    <font>
      <u/>
      <sz val="11"/>
      <color theme="10"/>
      <name val="Aptos Narrow"/>
      <family val="2"/>
      <scheme val="minor"/>
    </font>
    <font>
      <sz val="11"/>
      <color theme="1"/>
      <name val="Aptos Narrow"/>
      <charset val="1"/>
    </font>
    <font>
      <sz val="11"/>
      <color rgb="FF222222"/>
      <name val="Arial"/>
      <charset val="1"/>
    </font>
    <font>
      <sz val="12"/>
      <color rgb="FF222222"/>
      <name val="Arial"/>
      <charset val="1"/>
    </font>
    <font>
      <sz val="11"/>
      <color rgb="FF222222"/>
      <name val="Aptos Narrow"/>
      <scheme val="minor"/>
    </font>
    <font>
      <sz val="11"/>
      <color theme="1"/>
      <name val="Aptos Narrow"/>
      <scheme val="minor"/>
    </font>
    <font>
      <sz val="11"/>
      <color rgb="FF000000"/>
      <name val="Aptos Narrow"/>
      <scheme val="minor"/>
    </font>
    <font>
      <sz val="11"/>
      <color theme="1"/>
      <name val="Calibri"/>
      <family val="2"/>
      <charset val="1"/>
    </font>
    <font>
      <sz val="11"/>
      <color rgb="FFFF0000"/>
      <name val="Aptos Narrow"/>
      <scheme val="minor"/>
    </font>
  </fonts>
  <fills count="10">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39997558519241921"/>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FFFFF"/>
        <bgColor indexed="64"/>
      </patternFill>
    </fill>
    <fill>
      <patternFill patternType="solid">
        <fgColor theme="1" tint="0.499984740745262"/>
        <bgColor indexed="64"/>
      </patternFill>
    </fill>
    <fill>
      <patternFill patternType="solid">
        <fgColor theme="5" tint="0.59999389629810485"/>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8" fillId="0" borderId="0" applyNumberFormat="0" applyFill="0" applyBorder="0" applyAlignment="0" applyProtection="0"/>
  </cellStyleXfs>
  <cellXfs count="59">
    <xf numFmtId="0" fontId="0" fillId="0" borderId="0" xfId="0"/>
    <xf numFmtId="0" fontId="6" fillId="0" borderId="1" xfId="0" applyFont="1" applyBorder="1" applyAlignment="1">
      <alignment readingOrder="1"/>
    </xf>
    <xf numFmtId="0" fontId="3" fillId="0" borderId="0" xfId="0" applyFont="1" applyAlignment="1">
      <alignment horizontal="left" vertical="top" wrapText="1"/>
    </xf>
    <xf numFmtId="0" fontId="0" fillId="0" borderId="0" xfId="0" applyAlignment="1">
      <alignment horizontal="left" vertical="top"/>
    </xf>
    <xf numFmtId="0" fontId="4"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lignment vertical="top" wrapText="1"/>
    </xf>
    <xf numFmtId="0" fontId="0" fillId="0" borderId="0" xfId="0" applyAlignment="1">
      <alignment horizontal="left" vertical="top" wrapText="1"/>
    </xf>
    <xf numFmtId="0" fontId="0" fillId="3" borderId="0" xfId="0" applyFill="1" applyAlignment="1">
      <alignment horizontal="left" vertical="top" wrapText="1"/>
    </xf>
    <xf numFmtId="0" fontId="0" fillId="5" borderId="0" xfId="0" applyFill="1" applyAlignment="1">
      <alignment horizontal="left" vertical="top" wrapText="1"/>
    </xf>
    <xf numFmtId="0" fontId="0" fillId="6" borderId="0" xfId="0" applyFill="1" applyAlignment="1">
      <alignment horizontal="left" vertical="top" wrapText="1"/>
    </xf>
    <xf numFmtId="0" fontId="8" fillId="0" borderId="0" xfId="1" applyFill="1" applyAlignment="1">
      <alignment horizontal="left" vertical="top" wrapText="1"/>
    </xf>
    <xf numFmtId="0" fontId="0" fillId="9" borderId="0" xfId="0" applyFill="1" applyAlignment="1">
      <alignment horizontal="left" vertical="top" wrapText="1"/>
    </xf>
    <xf numFmtId="0" fontId="2" fillId="2" borderId="1" xfId="0" applyFont="1" applyFill="1" applyBorder="1" applyAlignment="1">
      <alignment horizontal="left" vertical="top" wrapText="1"/>
    </xf>
    <xf numFmtId="0" fontId="0" fillId="2" borderId="1" xfId="0" applyFill="1" applyBorder="1" applyAlignment="1">
      <alignment horizontal="left" vertical="top" wrapText="1"/>
    </xf>
    <xf numFmtId="0" fontId="0" fillId="0" borderId="1" xfId="0" applyBorder="1" applyAlignment="1">
      <alignment horizontal="left" vertical="top" wrapText="1"/>
    </xf>
    <xf numFmtId="0" fontId="1" fillId="2" borderId="1" xfId="0" applyFont="1" applyFill="1" applyBorder="1" applyAlignment="1">
      <alignment horizontal="left" vertical="top" wrapText="1"/>
    </xf>
    <xf numFmtId="0" fontId="7" fillId="2" borderId="1" xfId="0" applyFont="1" applyFill="1" applyBorder="1" applyAlignment="1">
      <alignment horizontal="left" vertical="top" wrapText="1"/>
    </xf>
    <xf numFmtId="0" fontId="9" fillId="0" borderId="1" xfId="0" applyFont="1" applyBorder="1" applyAlignment="1">
      <alignment horizontal="left" vertical="top" wrapText="1" readingOrder="1"/>
    </xf>
    <xf numFmtId="0" fontId="8" fillId="0" borderId="1" xfId="1" applyBorder="1" applyAlignment="1">
      <alignment horizontal="left" vertical="top" wrapText="1"/>
    </xf>
    <xf numFmtId="0" fontId="0" fillId="5" borderId="1" xfId="0" applyFill="1" applyBorder="1" applyAlignment="1">
      <alignment horizontal="left" vertical="top" wrapText="1"/>
    </xf>
    <xf numFmtId="0" fontId="4" fillId="5" borderId="1" xfId="0" applyFont="1" applyFill="1" applyBorder="1" applyAlignment="1">
      <alignment horizontal="left" vertical="top" wrapText="1"/>
    </xf>
    <xf numFmtId="0" fontId="0" fillId="6" borderId="1" xfId="0" applyFill="1" applyBorder="1" applyAlignment="1">
      <alignment horizontal="left" vertical="top" wrapText="1"/>
    </xf>
    <xf numFmtId="0" fontId="8" fillId="6" borderId="1" xfId="1" applyFill="1" applyBorder="1" applyAlignment="1">
      <alignment horizontal="left" vertical="top" wrapText="1"/>
    </xf>
    <xf numFmtId="0" fontId="0" fillId="3" borderId="1" xfId="0" applyFill="1" applyBorder="1" applyAlignment="1">
      <alignment horizontal="left" vertical="top" wrapText="1"/>
    </xf>
    <xf numFmtId="0" fontId="8" fillId="3" borderId="1" xfId="1" applyFill="1" applyBorder="1" applyAlignment="1">
      <alignment horizontal="left" vertical="top" wrapText="1"/>
    </xf>
    <xf numFmtId="0" fontId="0" fillId="4" borderId="1" xfId="0" applyFill="1" applyBorder="1" applyAlignment="1">
      <alignment horizontal="left" vertical="top" wrapText="1"/>
    </xf>
    <xf numFmtId="0" fontId="4" fillId="8" borderId="1" xfId="0" applyFont="1" applyFill="1" applyBorder="1" applyAlignment="1">
      <alignment horizontal="left" vertical="top" wrapText="1"/>
    </xf>
    <xf numFmtId="0" fontId="0" fillId="8" borderId="1" xfId="0" applyFill="1" applyBorder="1" applyAlignment="1">
      <alignment horizontal="left" vertical="top" wrapText="1"/>
    </xf>
    <xf numFmtId="0" fontId="9" fillId="3" borderId="1" xfId="0" applyFont="1" applyFill="1" applyBorder="1" applyAlignment="1">
      <alignment horizontal="left" vertical="top" wrapText="1" readingOrder="1"/>
    </xf>
    <xf numFmtId="0" fontId="15" fillId="3" borderId="1" xfId="0" applyFont="1" applyFill="1" applyBorder="1"/>
    <xf numFmtId="0" fontId="8" fillId="4" borderId="1" xfId="1" applyFill="1" applyBorder="1" applyAlignment="1">
      <alignment horizontal="left" vertical="top" wrapText="1"/>
    </xf>
    <xf numFmtId="0" fontId="4"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12" fillId="4" borderId="1" xfId="0" applyFont="1" applyFill="1" applyBorder="1" applyAlignment="1">
      <alignment horizontal="left" vertical="top" wrapText="1"/>
    </xf>
    <xf numFmtId="0" fontId="8" fillId="0" borderId="1" xfId="1" applyFill="1" applyBorder="1" applyAlignment="1">
      <alignment horizontal="left" vertical="top" wrapText="1"/>
    </xf>
    <xf numFmtId="0" fontId="11" fillId="7" borderId="1" xfId="0" quotePrefix="1" applyFont="1" applyFill="1" applyBorder="1" applyAlignment="1">
      <alignment horizontal="left" vertical="top" wrapText="1"/>
    </xf>
    <xf numFmtId="0" fontId="8" fillId="3" borderId="1" xfId="1" quotePrefix="1" applyFill="1" applyBorder="1" applyAlignment="1">
      <alignment horizontal="left" vertical="top" wrapText="1"/>
    </xf>
    <xf numFmtId="0" fontId="8" fillId="0" borderId="1" xfId="1" applyBorder="1"/>
    <xf numFmtId="0" fontId="8" fillId="5" borderId="1" xfId="1" applyFill="1" applyBorder="1" applyAlignment="1">
      <alignment horizontal="left" vertical="top" wrapText="1"/>
    </xf>
    <xf numFmtId="0" fontId="9" fillId="5" borderId="1" xfId="0" applyFont="1" applyFill="1" applyBorder="1" applyAlignment="1">
      <alignment horizontal="left" vertical="top" wrapText="1" readingOrder="1"/>
    </xf>
    <xf numFmtId="0" fontId="13" fillId="0" borderId="1" xfId="0" applyFont="1" applyBorder="1" applyAlignment="1">
      <alignment horizontal="left" vertical="top" wrapText="1"/>
    </xf>
    <xf numFmtId="0" fontId="14" fillId="3" borderId="1" xfId="0" applyFont="1" applyFill="1" applyBorder="1" applyAlignment="1">
      <alignment horizontal="left" vertical="top" wrapText="1"/>
    </xf>
    <xf numFmtId="0" fontId="10" fillId="0" borderId="1" xfId="0" applyFont="1" applyBorder="1" applyAlignment="1">
      <alignment horizontal="left" vertical="top" wrapText="1"/>
    </xf>
    <xf numFmtId="0" fontId="0" fillId="0" borderId="1" xfId="0" applyBorder="1" applyAlignment="1">
      <alignment horizontal="left" vertical="top"/>
    </xf>
    <xf numFmtId="0" fontId="0" fillId="0" borderId="1" xfId="0" applyBorder="1" applyAlignment="1">
      <alignment vertical="top" wrapText="1"/>
    </xf>
    <xf numFmtId="0" fontId="14" fillId="3" borderId="2" xfId="0" applyFont="1" applyFill="1" applyBorder="1" applyAlignment="1">
      <alignment horizontal="left" vertical="top" wrapText="1"/>
    </xf>
    <xf numFmtId="0" fontId="0" fillId="3" borderId="2" xfId="0" applyFill="1" applyBorder="1" applyAlignment="1">
      <alignment horizontal="left" vertical="top" wrapText="1"/>
    </xf>
    <xf numFmtId="0" fontId="14" fillId="4" borderId="1" xfId="0" applyFont="1" applyFill="1" applyBorder="1" applyAlignment="1">
      <alignment horizontal="left" vertical="top" wrapText="1"/>
    </xf>
    <xf numFmtId="0" fontId="13" fillId="4" borderId="1" xfId="0" applyFont="1" applyFill="1" applyBorder="1" applyAlignment="1">
      <alignment horizontal="left" vertical="top" wrapText="1"/>
    </xf>
    <xf numFmtId="0" fontId="11" fillId="5" borderId="1" xfId="0" quotePrefix="1" applyFont="1" applyFill="1" applyBorder="1" applyAlignment="1">
      <alignment horizontal="left" vertical="top" wrapText="1"/>
    </xf>
    <xf numFmtId="0" fontId="9" fillId="6" borderId="1" xfId="0" applyFont="1" applyFill="1" applyBorder="1" applyAlignment="1">
      <alignment horizontal="left" vertical="top" wrapText="1" readingOrder="1"/>
    </xf>
    <xf numFmtId="0" fontId="8" fillId="6" borderId="1" xfId="1" applyFill="1" applyBorder="1"/>
    <xf numFmtId="0" fontId="12" fillId="7" borderId="1" xfId="0" applyFont="1" applyFill="1" applyBorder="1" applyAlignment="1">
      <alignment horizontal="left" vertical="top" wrapText="1"/>
    </xf>
    <xf numFmtId="0" fontId="0" fillId="8" borderId="0" xfId="0" applyFill="1" applyAlignment="1">
      <alignment horizontal="left" vertical="top" wrapText="1"/>
    </xf>
    <xf numFmtId="0" fontId="12" fillId="4" borderId="1" xfId="0" quotePrefix="1" applyFont="1" applyFill="1" applyBorder="1" applyAlignment="1">
      <alignment horizontal="left" vertical="top" wrapText="1"/>
    </xf>
    <xf numFmtId="0" fontId="9" fillId="8" borderId="1" xfId="0" applyFont="1" applyFill="1" applyBorder="1" applyAlignment="1">
      <alignment horizontal="left" vertical="top" wrapText="1" readingOrder="1"/>
    </xf>
    <xf numFmtId="0" fontId="0" fillId="0" borderId="1" xfId="0" applyBorder="1" applyAlignment="1">
      <alignment vertical="top"/>
    </xf>
    <xf numFmtId="0" fontId="8" fillId="3" borderId="1" xfId="1" applyFill="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docs.live.net/5ee65221fd98acfc/Documents/wnct@westnorthumberland.org.uk:%20clerk@ovinghamparishcouncil.gov.uk" TargetMode="External"/><Relationship Id="rId13" Type="http://schemas.openxmlformats.org/officeDocument/2006/relationships/hyperlink" Target="mailto:info@needltd.co.uk" TargetMode="External"/><Relationship Id="rId18" Type="http://schemas.openxmlformats.org/officeDocument/2006/relationships/hyperlink" Target="mailto:amylinton1983@gmail.com" TargetMode="External"/><Relationship Id="rId26" Type="http://schemas.openxmlformats.org/officeDocument/2006/relationships/hyperlink" Target="mailto:Andy.Pratt@cumberland.gov.uk" TargetMode="External"/><Relationship Id="rId3" Type="http://schemas.openxmlformats.org/officeDocument/2006/relationships/hyperlink" Target="mailto:enquiries@needltd.co.uk;%20alnwickcommunitycentre@btinternet.com;" TargetMode="External"/><Relationship Id="rId21" Type="http://schemas.openxmlformats.org/officeDocument/2006/relationships/hyperlink" Target="mailto:james.burke@bramptoncc.org.uk" TargetMode="External"/><Relationship Id="rId7" Type="http://schemas.openxmlformats.org/officeDocument/2006/relationships/hyperlink" Target="https://d.docs.live.net/5ee65221fd98acfc/Documents/admin@kiptransport.co.uk:%20familyhubs@northumberland.gov.uk" TargetMode="External"/><Relationship Id="rId12" Type="http://schemas.openxmlformats.org/officeDocument/2006/relationships/hyperlink" Target="mailto:r.i.waller@keele.ac.uk;" TargetMode="External"/><Relationship Id="rId17" Type="http://schemas.openxmlformats.org/officeDocument/2006/relationships/hyperlink" Target="mailto:generaloffice@adapt-tynedale.org.uk%22%20%3cgeneraloffice@adapt-tynedale.org.uk" TargetMode="External"/><Relationship Id="rId25" Type="http://schemas.openxmlformats.org/officeDocument/2006/relationships/hyperlink" Target="mailto:steph.graham@longtowncc.co.uk" TargetMode="External"/><Relationship Id="rId2" Type="http://schemas.openxmlformats.org/officeDocument/2006/relationships/hyperlink" Target="mailto:gill@wooler.org.uk;%20nfo@theglendaletrust@gmail.com" TargetMode="External"/><Relationship Id="rId16" Type="http://schemas.openxmlformats.org/officeDocument/2006/relationships/hyperlink" Target="secretary@tvcrp.org.uk:%20admin@haltwhistle.org:%20chairman@haltwhistle.org:" TargetMode="External"/><Relationship Id="rId20" Type="http://schemas.openxmlformats.org/officeDocument/2006/relationships/hyperlink" Target="mailto:jacquiehuddleston12@gmail.com" TargetMode="External"/><Relationship Id="rId1" Type="http://schemas.openxmlformats.org/officeDocument/2006/relationships/hyperlink" Target="mailto:storm.baines@em.com%20contact%20for%20Northumberland%20Enterprise%20clubs" TargetMode="External"/><Relationship Id="rId6" Type="http://schemas.openxmlformats.org/officeDocument/2006/relationships/hyperlink" Target="mailto:karen@watbus.org.uk%22%20%3ckaren@watbus.org.uk" TargetMode="External"/><Relationship Id="rId11" Type="http://schemas.openxmlformats.org/officeDocument/2006/relationships/hyperlink" Target="https://d.docs.live.net/5ee65221fd98acfc/Documents/wnct@westnorthumberland.org.uk:%20clerk@corbridgeparishcouncil.gov.uk" TargetMode="External"/><Relationship Id="rId24" Type="http://schemas.openxmlformats.org/officeDocument/2006/relationships/hyperlink" Target="mailto:ian.mitchell@westmorlandandfurness.gov.uk" TargetMode="External"/><Relationship Id="rId5" Type="http://schemas.openxmlformats.org/officeDocument/2006/relationships/hyperlink" Target="mailto:clerk@hexhamtowncouncil.gov.uk;%20%20admin@hexhamcommunity.net;%20info@adapt-ne.org.uk;" TargetMode="External"/><Relationship Id="rId15" Type="http://schemas.openxmlformats.org/officeDocument/2006/relationships/hyperlink" Target="mailto:jnftatham@hotmail.com" TargetMode="External"/><Relationship Id="rId23" Type="http://schemas.openxmlformats.org/officeDocument/2006/relationships/hyperlink" Target="mailto:lorna@baker6.org.uk%20/%20Lorna.Baker@westmorlandandfurness.gov.uk" TargetMode="External"/><Relationship Id="rId28" Type="http://schemas.openxmlformats.org/officeDocument/2006/relationships/printerSettings" Target="../printerSettings/printerSettings1.bin"/><Relationship Id="rId10" Type="http://schemas.openxmlformats.org/officeDocument/2006/relationships/hyperlink" Target="https://d.docs.live.net/5ee65221fd98acfc/Documents/wnct@westnorthumberland.org.uk:%20%20clerk@ridingmillparishcouncil.org.uk" TargetMode="External"/><Relationship Id="rId19" Type="http://schemas.openxmlformats.org/officeDocument/2006/relationships/hyperlink" Target="mailto:arnsideei@gmail.com" TargetMode="External"/><Relationship Id="rId4" Type="http://schemas.openxmlformats.org/officeDocument/2006/relationships/hyperlink" Target="mailto:admin@kiptransport.co.uk" TargetMode="External"/><Relationship Id="rId9" Type="http://schemas.openxmlformats.org/officeDocument/2006/relationships/hyperlink" Target="mailto:clerk@stocksfield-pc.org.uk" TargetMode="External"/><Relationship Id="rId14" Type="http://schemas.openxmlformats.org/officeDocument/2006/relationships/hyperlink" Target="mailto:haze.hanley@gmail.com" TargetMode="External"/><Relationship Id="rId22" Type="http://schemas.openxmlformats.org/officeDocument/2006/relationships/hyperlink" Target="mailto:rawatson1@live.co.uk;" TargetMode="External"/><Relationship Id="rId27" Type="http://schemas.openxmlformats.org/officeDocument/2006/relationships/hyperlink" Target="mailto:timothycoombe@damhead.me;%20philferneaux.iclou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70059-D330-4D6A-AAAD-7E535501D3E4}">
  <dimension ref="A1:AM131"/>
  <sheetViews>
    <sheetView tabSelected="1" workbookViewId="0">
      <pane ySplit="1" topLeftCell="A113" activePane="bottomLeft" state="frozen"/>
      <selection pane="bottomLeft" activeCell="A2" sqref="A2"/>
    </sheetView>
  </sheetViews>
  <sheetFormatPr defaultRowHeight="15" customHeight="1"/>
  <cols>
    <col min="1" max="1" width="40.5703125" style="3" customWidth="1"/>
    <col min="2" max="2" width="17.5703125" style="3" customWidth="1"/>
    <col min="3" max="3" width="49.85546875" style="7" customWidth="1"/>
    <col min="4" max="4" width="22.7109375" style="3" customWidth="1"/>
    <col min="5" max="5" width="28.5703125" style="3" customWidth="1"/>
    <col min="6" max="6" width="34.85546875" style="6" customWidth="1"/>
    <col min="7" max="7" width="40.28515625" style="3" customWidth="1"/>
    <col min="8" max="8" width="44.28515625" style="3" customWidth="1"/>
    <col min="9" max="9" width="21.28515625" style="3" bestFit="1" customWidth="1"/>
    <col min="10" max="10" width="24.140625" style="3" bestFit="1" customWidth="1"/>
    <col min="11" max="12" width="9.140625" style="3"/>
  </cols>
  <sheetData>
    <row r="1" spans="1:39" s="7" customFormat="1" ht="36">
      <c r="A1" s="13" t="s">
        <v>0</v>
      </c>
      <c r="B1" s="13"/>
      <c r="C1" s="13"/>
      <c r="D1" s="13"/>
      <c r="E1" s="14"/>
      <c r="F1" s="14"/>
      <c r="G1" s="14"/>
      <c r="H1" s="14"/>
      <c r="I1" s="15"/>
    </row>
    <row r="2" spans="1:39" s="7" customFormat="1" ht="15.75">
      <c r="A2" s="16" t="s">
        <v>1</v>
      </c>
      <c r="B2" s="16" t="s">
        <v>2</v>
      </c>
      <c r="C2" s="16" t="s">
        <v>3</v>
      </c>
      <c r="D2" s="16" t="s">
        <v>4</v>
      </c>
      <c r="E2" s="17" t="s">
        <v>5</v>
      </c>
      <c r="F2" s="17" t="s">
        <v>6</v>
      </c>
      <c r="G2" s="17" t="s">
        <v>7</v>
      </c>
      <c r="H2" s="17" t="s">
        <v>8</v>
      </c>
      <c r="I2" s="15"/>
    </row>
    <row r="3" spans="1:39" s="7" customFormat="1">
      <c r="A3" s="18" t="s">
        <v>9</v>
      </c>
      <c r="B3" s="15" t="s">
        <v>10</v>
      </c>
      <c r="C3" s="15" t="s">
        <v>11</v>
      </c>
      <c r="D3" s="15" t="s">
        <v>12</v>
      </c>
      <c r="E3" s="15" t="s">
        <v>13</v>
      </c>
      <c r="F3" s="19" t="s">
        <v>14</v>
      </c>
      <c r="G3" s="15"/>
      <c r="H3" s="15" t="s">
        <v>15</v>
      </c>
      <c r="I3" s="15"/>
    </row>
    <row r="4" spans="1:39" s="7" customFormat="1" ht="29.25">
      <c r="A4" s="20" t="s">
        <v>16</v>
      </c>
      <c r="B4" s="20" t="s">
        <v>17</v>
      </c>
      <c r="C4" s="20" t="s">
        <v>18</v>
      </c>
      <c r="D4" s="20" t="s">
        <v>12</v>
      </c>
      <c r="E4" s="20"/>
      <c r="F4" s="20" t="s">
        <v>19</v>
      </c>
      <c r="G4" s="20" t="s">
        <v>20</v>
      </c>
      <c r="H4" s="20"/>
      <c r="I4" s="20"/>
    </row>
    <row r="5" spans="1:39" s="7" customFormat="1">
      <c r="A5" s="21" t="s">
        <v>21</v>
      </c>
      <c r="B5" s="20"/>
      <c r="C5" s="20" t="s">
        <v>18</v>
      </c>
      <c r="D5" s="20"/>
      <c r="E5" s="20" t="s">
        <v>22</v>
      </c>
      <c r="F5" s="20" t="s">
        <v>23</v>
      </c>
      <c r="G5" s="20" t="s">
        <v>20</v>
      </c>
      <c r="H5" s="20"/>
      <c r="I5" s="20"/>
    </row>
    <row r="6" spans="1:39" s="7" customFormat="1" ht="67.5" customHeight="1">
      <c r="A6" s="22" t="s">
        <v>24</v>
      </c>
      <c r="B6" s="22" t="s">
        <v>10</v>
      </c>
      <c r="C6" s="22" t="s">
        <v>25</v>
      </c>
      <c r="D6" s="22" t="s">
        <v>26</v>
      </c>
      <c r="E6" s="22" t="s">
        <v>27</v>
      </c>
      <c r="F6" s="23" t="s">
        <v>28</v>
      </c>
      <c r="G6" s="22" t="s">
        <v>29</v>
      </c>
      <c r="H6" s="22"/>
      <c r="I6" s="22"/>
    </row>
    <row r="7" spans="1:39" s="7" customFormat="1" ht="66.75" customHeight="1">
      <c r="A7" s="24" t="s">
        <v>30</v>
      </c>
      <c r="B7" s="24" t="s">
        <v>31</v>
      </c>
      <c r="C7" s="24" t="s">
        <v>32</v>
      </c>
      <c r="D7" s="24" t="s">
        <v>33</v>
      </c>
      <c r="E7" s="24" t="s">
        <v>34</v>
      </c>
      <c r="F7" s="25" t="s">
        <v>35</v>
      </c>
      <c r="G7" s="24" t="s">
        <v>36</v>
      </c>
      <c r="H7" s="24"/>
      <c r="I7" s="24"/>
    </row>
    <row r="8" spans="1:39" s="7" customFormat="1">
      <c r="A8" s="20" t="s">
        <v>37</v>
      </c>
      <c r="B8" s="20"/>
      <c r="C8" s="20"/>
      <c r="D8" s="20"/>
      <c r="E8" s="20" t="s">
        <v>38</v>
      </c>
      <c r="F8" s="20" t="s">
        <v>39</v>
      </c>
      <c r="G8" s="20" t="s">
        <v>20</v>
      </c>
      <c r="H8" s="20"/>
      <c r="I8" s="20"/>
    </row>
    <row r="9" spans="1:39" s="7" customFormat="1">
      <c r="A9" s="20" t="s">
        <v>40</v>
      </c>
      <c r="B9" s="20"/>
      <c r="C9" s="20" t="s">
        <v>41</v>
      </c>
      <c r="D9" s="20"/>
      <c r="E9" s="20" t="s">
        <v>42</v>
      </c>
      <c r="F9" s="20" t="s">
        <v>43</v>
      </c>
      <c r="G9" s="20" t="s">
        <v>20</v>
      </c>
      <c r="H9" s="20"/>
      <c r="I9" s="20"/>
    </row>
    <row r="10" spans="1:39" s="7" customFormat="1" ht="123" customHeight="1">
      <c r="A10" s="26" t="s">
        <v>44</v>
      </c>
      <c r="B10" s="26" t="s">
        <v>31</v>
      </c>
      <c r="C10" s="26" t="s">
        <v>45</v>
      </c>
      <c r="D10" s="26" t="s">
        <v>26</v>
      </c>
      <c r="E10" s="26" t="s">
        <v>46</v>
      </c>
      <c r="F10" s="26" t="s">
        <v>47</v>
      </c>
      <c r="G10" s="26" t="s">
        <v>48</v>
      </c>
      <c r="H10" s="48" t="s">
        <v>49</v>
      </c>
      <c r="I10" s="26"/>
    </row>
    <row r="11" spans="1:39" s="7" customFormat="1">
      <c r="A11" s="15" t="s">
        <v>50</v>
      </c>
      <c r="B11" s="15"/>
      <c r="C11" s="15" t="s">
        <v>51</v>
      </c>
      <c r="D11" s="15" t="s">
        <v>52</v>
      </c>
      <c r="E11" s="15" t="s">
        <v>53</v>
      </c>
      <c r="F11" s="15"/>
      <c r="G11" s="15" t="s">
        <v>54</v>
      </c>
      <c r="H11" s="43"/>
      <c r="I11" s="15"/>
    </row>
    <row r="12" spans="1:39" s="7" customFormat="1" ht="29.25">
      <c r="A12" s="15" t="s">
        <v>55</v>
      </c>
      <c r="B12" s="15" t="s">
        <v>31</v>
      </c>
      <c r="C12" s="15" t="s">
        <v>56</v>
      </c>
      <c r="D12" s="15" t="s">
        <v>33</v>
      </c>
      <c r="E12" s="15"/>
      <c r="F12" s="57" t="s">
        <v>57</v>
      </c>
      <c r="G12" s="15" t="s">
        <v>58</v>
      </c>
      <c r="H12" s="53" t="s">
        <v>59</v>
      </c>
      <c r="I12" s="15"/>
    </row>
    <row r="13" spans="1:39" s="8" customFormat="1" ht="29.25">
      <c r="A13" s="24" t="s">
        <v>60</v>
      </c>
      <c r="B13" s="24" t="s">
        <v>61</v>
      </c>
      <c r="C13" s="24" t="s">
        <v>62</v>
      </c>
      <c r="D13" s="24" t="s">
        <v>33</v>
      </c>
      <c r="E13" s="24" t="s">
        <v>63</v>
      </c>
      <c r="F13" s="58" t="s">
        <v>64</v>
      </c>
      <c r="G13" s="24" t="s">
        <v>65</v>
      </c>
      <c r="H13" s="24" t="s">
        <v>15</v>
      </c>
      <c r="I13" s="24"/>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row>
    <row r="14" spans="1:39" s="7" customFormat="1" ht="89.25" customHeight="1">
      <c r="A14" s="22" t="s">
        <v>66</v>
      </c>
      <c r="B14" s="22" t="s">
        <v>10</v>
      </c>
      <c r="C14" s="22" t="s">
        <v>25</v>
      </c>
      <c r="D14" s="22" t="s">
        <v>26</v>
      </c>
      <c r="E14" s="22" t="s">
        <v>67</v>
      </c>
      <c r="F14" s="23" t="s">
        <v>68</v>
      </c>
      <c r="G14" s="22" t="s">
        <v>69</v>
      </c>
      <c r="H14" s="22" t="s">
        <v>70</v>
      </c>
      <c r="I14" s="22"/>
    </row>
    <row r="15" spans="1:39" s="12" customFormat="1" ht="29.25">
      <c r="A15" s="51" t="s">
        <v>71</v>
      </c>
      <c r="B15" s="22" t="s">
        <v>10</v>
      </c>
      <c r="C15" s="22" t="s">
        <v>72</v>
      </c>
      <c r="D15" s="22" t="s">
        <v>52</v>
      </c>
      <c r="E15" s="22" t="s">
        <v>73</v>
      </c>
      <c r="F15" s="52" t="s">
        <v>74</v>
      </c>
      <c r="G15" s="22" t="s">
        <v>75</v>
      </c>
      <c r="H15" s="22" t="s">
        <v>76</v>
      </c>
      <c r="I15" s="22"/>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row>
    <row r="16" spans="1:39" s="7" customFormat="1">
      <c r="A16" s="18" t="s">
        <v>77</v>
      </c>
      <c r="B16" s="15" t="s">
        <v>10</v>
      </c>
      <c r="C16" s="15" t="s">
        <v>78</v>
      </c>
      <c r="D16" s="15" t="s">
        <v>26</v>
      </c>
      <c r="E16" s="15"/>
      <c r="F16" s="15"/>
      <c r="G16" s="15" t="s">
        <v>79</v>
      </c>
      <c r="H16" s="15"/>
      <c r="I16" s="15"/>
    </row>
    <row r="17" spans="1:39" s="7" customFormat="1" ht="29.25">
      <c r="A17" s="15" t="s">
        <v>80</v>
      </c>
      <c r="B17" s="15" t="s">
        <v>31</v>
      </c>
      <c r="C17" s="15" t="s">
        <v>56</v>
      </c>
      <c r="D17" s="15" t="s">
        <v>33</v>
      </c>
      <c r="E17" s="15"/>
      <c r="F17" s="15"/>
      <c r="G17" s="15" t="s">
        <v>81</v>
      </c>
      <c r="H17" s="15"/>
      <c r="I17" s="15"/>
    </row>
    <row r="18" spans="1:39" s="7" customFormat="1" ht="53.25" customHeight="1">
      <c r="A18" s="22" t="s">
        <v>82</v>
      </c>
      <c r="B18" s="22" t="s">
        <v>10</v>
      </c>
      <c r="C18" s="22" t="s">
        <v>25</v>
      </c>
      <c r="D18" s="22" t="s">
        <v>26</v>
      </c>
      <c r="E18" s="22" t="s">
        <v>83</v>
      </c>
      <c r="F18" s="23" t="s">
        <v>84</v>
      </c>
      <c r="G18" s="22" t="s">
        <v>85</v>
      </c>
      <c r="H18" s="22"/>
      <c r="I18" s="22"/>
    </row>
    <row r="19" spans="1:39" s="7" customFormat="1" ht="29.25">
      <c r="A19" s="20" t="s">
        <v>86</v>
      </c>
      <c r="B19" s="20" t="s">
        <v>87</v>
      </c>
      <c r="C19" s="20" t="s">
        <v>88</v>
      </c>
      <c r="D19" s="20" t="s">
        <v>26</v>
      </c>
      <c r="E19" s="20" t="s">
        <v>89</v>
      </c>
      <c r="F19" s="20" t="s">
        <v>90</v>
      </c>
      <c r="G19" s="20" t="s">
        <v>91</v>
      </c>
      <c r="H19" s="20"/>
      <c r="I19" s="20"/>
    </row>
    <row r="20" spans="1:39" s="7" customFormat="1" ht="67.5" customHeight="1">
      <c r="A20" s="22" t="s">
        <v>92</v>
      </c>
      <c r="B20" s="22" t="s">
        <v>10</v>
      </c>
      <c r="C20" s="22" t="s">
        <v>93</v>
      </c>
      <c r="D20" s="22" t="s">
        <v>26</v>
      </c>
      <c r="E20" s="22"/>
      <c r="F20" s="22" t="s">
        <v>94</v>
      </c>
      <c r="G20" s="22" t="s">
        <v>95</v>
      </c>
      <c r="H20" s="22"/>
      <c r="I20" s="22"/>
    </row>
    <row r="21" spans="1:39" s="7" customFormat="1" ht="64.5" customHeight="1">
      <c r="A21" s="15" t="s">
        <v>96</v>
      </c>
      <c r="B21" s="15" t="s">
        <v>10</v>
      </c>
      <c r="C21" s="15" t="s">
        <v>97</v>
      </c>
      <c r="D21" s="15" t="s">
        <v>26</v>
      </c>
      <c r="E21" s="15"/>
      <c r="F21" s="15"/>
      <c r="G21" s="15" t="s">
        <v>98</v>
      </c>
      <c r="H21" s="19" t="s">
        <v>99</v>
      </c>
      <c r="I21" s="15" t="s">
        <v>100</v>
      </c>
    </row>
    <row r="22" spans="1:39" s="7" customFormat="1" ht="33.75" customHeight="1">
      <c r="A22" s="22" t="s">
        <v>101</v>
      </c>
      <c r="B22" s="22" t="s">
        <v>10</v>
      </c>
      <c r="C22" s="22" t="s">
        <v>25</v>
      </c>
      <c r="D22" s="22" t="s">
        <v>26</v>
      </c>
      <c r="E22" s="22" t="s">
        <v>83</v>
      </c>
      <c r="F22" s="23" t="s">
        <v>102</v>
      </c>
      <c r="G22" s="22" t="s">
        <v>103</v>
      </c>
      <c r="H22" s="22"/>
      <c r="I22" s="22"/>
    </row>
    <row r="23" spans="1:39" s="7" customFormat="1">
      <c r="A23" s="21" t="s">
        <v>104</v>
      </c>
      <c r="B23" s="20"/>
      <c r="C23" s="20" t="s">
        <v>18</v>
      </c>
      <c r="D23" s="20"/>
      <c r="E23" s="20" t="s">
        <v>105</v>
      </c>
      <c r="F23" s="20" t="s">
        <v>106</v>
      </c>
      <c r="G23" s="20" t="s">
        <v>91</v>
      </c>
      <c r="H23" s="20"/>
      <c r="I23" s="20"/>
    </row>
    <row r="24" spans="1:39" s="7" customFormat="1">
      <c r="A24" s="21" t="s">
        <v>107</v>
      </c>
      <c r="B24" s="20"/>
      <c r="C24" s="20" t="s">
        <v>18</v>
      </c>
      <c r="D24" s="20"/>
      <c r="E24" s="20" t="s">
        <v>108</v>
      </c>
      <c r="F24" s="20" t="s">
        <v>109</v>
      </c>
      <c r="G24" s="20" t="s">
        <v>91</v>
      </c>
      <c r="H24" s="20" t="s">
        <v>110</v>
      </c>
      <c r="I24" s="20"/>
    </row>
    <row r="25" spans="1:39" s="7" customFormat="1" ht="188.25">
      <c r="A25" s="24" t="s">
        <v>111</v>
      </c>
      <c r="B25" s="24" t="s">
        <v>31</v>
      </c>
      <c r="C25" s="24" t="s">
        <v>112</v>
      </c>
      <c r="D25" s="24" t="s">
        <v>12</v>
      </c>
      <c r="E25" s="24" t="s">
        <v>113</v>
      </c>
      <c r="F25" s="25" t="s">
        <v>114</v>
      </c>
      <c r="G25" s="24" t="s">
        <v>115</v>
      </c>
      <c r="H25" s="24" t="s">
        <v>116</v>
      </c>
      <c r="I25" s="24"/>
    </row>
    <row r="26" spans="1:39" s="7" customFormat="1" ht="29.25">
      <c r="A26" s="18" t="s">
        <v>117</v>
      </c>
      <c r="B26" s="15" t="s">
        <v>10</v>
      </c>
      <c r="C26" s="15" t="s">
        <v>118</v>
      </c>
      <c r="D26" s="15" t="s">
        <v>12</v>
      </c>
      <c r="E26" s="15" t="s">
        <v>119</v>
      </c>
      <c r="F26" s="19" t="s">
        <v>120</v>
      </c>
      <c r="G26" s="15" t="s">
        <v>121</v>
      </c>
      <c r="H26" s="15" t="s">
        <v>122</v>
      </c>
      <c r="I26" s="15"/>
    </row>
    <row r="27" spans="1:39" s="7" customFormat="1">
      <c r="A27" s="24" t="s">
        <v>123</v>
      </c>
      <c r="B27" s="24"/>
      <c r="C27" s="24" t="s">
        <v>18</v>
      </c>
      <c r="D27" s="24"/>
      <c r="E27" s="24"/>
      <c r="F27" s="24" t="s">
        <v>124</v>
      </c>
      <c r="G27" s="8"/>
      <c r="H27" s="8"/>
      <c r="I27" s="24"/>
    </row>
    <row r="28" spans="1:39" s="7" customFormat="1">
      <c r="A28" s="20" t="s">
        <v>125</v>
      </c>
      <c r="B28" s="20"/>
      <c r="C28" s="20" t="s">
        <v>18</v>
      </c>
      <c r="D28" s="20"/>
      <c r="E28" s="20" t="s">
        <v>126</v>
      </c>
      <c r="F28" s="20" t="s">
        <v>127</v>
      </c>
      <c r="G28" s="20" t="s">
        <v>91</v>
      </c>
      <c r="H28" s="20"/>
      <c r="I28" s="20"/>
    </row>
    <row r="29" spans="1:39" s="7" customFormat="1">
      <c r="A29" s="21" t="s">
        <v>128</v>
      </c>
      <c r="B29" s="20"/>
      <c r="C29" s="20" t="s">
        <v>18</v>
      </c>
      <c r="D29" s="20"/>
      <c r="E29" s="20" t="s">
        <v>129</v>
      </c>
      <c r="F29" s="20" t="s">
        <v>130</v>
      </c>
      <c r="G29" s="20" t="s">
        <v>91</v>
      </c>
      <c r="H29" s="20"/>
      <c r="I29" s="20"/>
    </row>
    <row r="30" spans="1:39" s="7" customFormat="1" ht="72.75">
      <c r="A30" s="27" t="s">
        <v>131</v>
      </c>
      <c r="B30" s="28"/>
      <c r="C30" s="28" t="s">
        <v>18</v>
      </c>
      <c r="D30" s="28"/>
      <c r="E30" s="28" t="s">
        <v>132</v>
      </c>
      <c r="F30" s="28" t="s">
        <v>133</v>
      </c>
      <c r="G30" s="28" t="s">
        <v>91</v>
      </c>
      <c r="H30" s="28" t="s">
        <v>134</v>
      </c>
      <c r="I30" s="15"/>
    </row>
    <row r="31" spans="1:39" s="10" customFormat="1" ht="29.25">
      <c r="A31" s="28" t="s">
        <v>135</v>
      </c>
      <c r="B31" s="28"/>
      <c r="C31" s="28" t="s">
        <v>18</v>
      </c>
      <c r="D31" s="28"/>
      <c r="E31" s="28" t="s">
        <v>136</v>
      </c>
      <c r="F31" s="28" t="s">
        <v>137</v>
      </c>
      <c r="G31" s="28" t="s">
        <v>138</v>
      </c>
      <c r="H31" s="28"/>
      <c r="I31" s="22"/>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row>
    <row r="32" spans="1:39" s="8" customFormat="1" ht="29.25">
      <c r="A32" s="29" t="s">
        <v>139</v>
      </c>
      <c r="B32" s="24" t="s">
        <v>10</v>
      </c>
      <c r="C32" s="24" t="s">
        <v>140</v>
      </c>
      <c r="D32" s="24" t="s">
        <v>52</v>
      </c>
      <c r="E32" s="24" t="s">
        <v>141</v>
      </c>
      <c r="F32" s="30" t="s">
        <v>142</v>
      </c>
      <c r="G32" s="24" t="s">
        <v>143</v>
      </c>
      <c r="H32" s="24" t="s">
        <v>144</v>
      </c>
      <c r="I32" s="24"/>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row>
    <row r="33" spans="1:39" s="7" customFormat="1">
      <c r="A33" s="28" t="s">
        <v>145</v>
      </c>
      <c r="B33" s="28"/>
      <c r="C33" s="28"/>
      <c r="D33" s="28" t="s">
        <v>12</v>
      </c>
      <c r="E33" s="28"/>
      <c r="F33" s="28"/>
      <c r="G33" s="28"/>
      <c r="H33" s="28"/>
      <c r="I33" s="15"/>
    </row>
    <row r="34" spans="1:39" s="7" customFormat="1" ht="43.5">
      <c r="A34" s="26" t="s">
        <v>146</v>
      </c>
      <c r="B34" s="26"/>
      <c r="C34" s="26" t="s">
        <v>18</v>
      </c>
      <c r="D34" s="26"/>
      <c r="E34" s="26" t="s">
        <v>147</v>
      </c>
      <c r="F34" s="31" t="s">
        <v>148</v>
      </c>
      <c r="G34" s="26" t="s">
        <v>149</v>
      </c>
      <c r="H34" s="26"/>
      <c r="I34" s="26"/>
    </row>
    <row r="35" spans="1:39" s="7" customFormat="1" ht="64.5" customHeight="1">
      <c r="A35" s="26" t="s">
        <v>146</v>
      </c>
      <c r="B35" s="26" t="s">
        <v>31</v>
      </c>
      <c r="C35" s="26" t="s">
        <v>150</v>
      </c>
      <c r="D35" s="26" t="s">
        <v>12</v>
      </c>
      <c r="E35" s="26" t="s">
        <v>151</v>
      </c>
      <c r="F35" s="31" t="s">
        <v>152</v>
      </c>
      <c r="G35" s="26" t="s">
        <v>153</v>
      </c>
      <c r="H35" s="49" t="s">
        <v>154</v>
      </c>
      <c r="I35" s="26"/>
    </row>
    <row r="36" spans="1:39" s="7" customFormat="1">
      <c r="A36" s="28" t="s">
        <v>155</v>
      </c>
      <c r="B36" s="28"/>
      <c r="C36" s="28" t="s">
        <v>18</v>
      </c>
      <c r="D36" s="28" t="s">
        <v>52</v>
      </c>
      <c r="E36" s="28" t="s">
        <v>156</v>
      </c>
      <c r="F36" s="28" t="s">
        <v>157</v>
      </c>
      <c r="G36" s="28" t="s">
        <v>158</v>
      </c>
      <c r="H36" s="28"/>
      <c r="I36" s="28"/>
    </row>
    <row r="37" spans="1:39" s="7" customFormat="1" ht="43.5">
      <c r="A37" s="20" t="s">
        <v>159</v>
      </c>
      <c r="B37" s="20"/>
      <c r="C37" s="20" t="s">
        <v>18</v>
      </c>
      <c r="D37" s="20" t="s">
        <v>52</v>
      </c>
      <c r="E37" s="20"/>
      <c r="F37" s="20" t="s">
        <v>160</v>
      </c>
      <c r="G37" s="20" t="s">
        <v>158</v>
      </c>
      <c r="H37" s="20" t="s">
        <v>161</v>
      </c>
      <c r="I37" s="20"/>
    </row>
    <row r="38" spans="1:39" s="7" customFormat="1" ht="61.5" customHeight="1">
      <c r="A38" s="22" t="s">
        <v>162</v>
      </c>
      <c r="B38" s="22" t="s">
        <v>163</v>
      </c>
      <c r="C38" s="22" t="s">
        <v>164</v>
      </c>
      <c r="D38" s="22" t="s">
        <v>26</v>
      </c>
      <c r="E38" s="22" t="s">
        <v>165</v>
      </c>
      <c r="F38" s="23" t="s">
        <v>166</v>
      </c>
      <c r="G38" s="22" t="s">
        <v>167</v>
      </c>
      <c r="H38" s="22"/>
      <c r="I38" s="22"/>
    </row>
    <row r="39" spans="1:39" s="7" customFormat="1" ht="43.5">
      <c r="A39" s="22" t="s">
        <v>168</v>
      </c>
      <c r="B39" s="22" t="s">
        <v>10</v>
      </c>
      <c r="C39" s="22" t="s">
        <v>25</v>
      </c>
      <c r="D39" s="22" t="s">
        <v>26</v>
      </c>
      <c r="E39" s="22" t="s">
        <v>83</v>
      </c>
      <c r="F39" s="23" t="s">
        <v>169</v>
      </c>
      <c r="G39" s="22" t="s">
        <v>170</v>
      </c>
      <c r="H39" s="22" t="s">
        <v>171</v>
      </c>
      <c r="I39" s="22"/>
    </row>
    <row r="40" spans="1:39" s="7" customFormat="1" ht="29.25">
      <c r="A40" s="28" t="s">
        <v>172</v>
      </c>
      <c r="B40" s="28" t="s">
        <v>173</v>
      </c>
      <c r="C40" s="28"/>
      <c r="D40" s="28" t="s">
        <v>12</v>
      </c>
      <c r="E40" s="28"/>
      <c r="F40" s="28"/>
      <c r="G40" s="28"/>
      <c r="H40" s="28"/>
      <c r="I40" s="28"/>
    </row>
    <row r="41" spans="1:39" s="10" customFormat="1" ht="29.25">
      <c r="A41" s="28" t="s">
        <v>174</v>
      </c>
      <c r="B41" s="28"/>
      <c r="C41" s="28" t="s">
        <v>18</v>
      </c>
      <c r="D41" s="28"/>
      <c r="E41" s="28" t="s">
        <v>175</v>
      </c>
      <c r="F41" s="28" t="s">
        <v>176</v>
      </c>
      <c r="G41" s="28" t="s">
        <v>177</v>
      </c>
      <c r="H41" s="28"/>
      <c r="I41" s="28"/>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row>
    <row r="42" spans="1:39" s="7" customFormat="1">
      <c r="A42" s="28" t="s">
        <v>178</v>
      </c>
      <c r="B42" s="28"/>
      <c r="C42" s="28" t="s">
        <v>18</v>
      </c>
      <c r="D42" s="28"/>
      <c r="E42" s="28"/>
      <c r="F42" s="28"/>
      <c r="G42" s="28"/>
      <c r="H42" s="28"/>
      <c r="I42" s="28"/>
    </row>
    <row r="43" spans="1:39" s="7" customFormat="1">
      <c r="A43" s="20" t="s">
        <v>179</v>
      </c>
      <c r="B43" s="20"/>
      <c r="C43" s="20" t="s">
        <v>18</v>
      </c>
      <c r="D43" s="20"/>
      <c r="E43" s="20" t="s">
        <v>180</v>
      </c>
      <c r="F43" s="20" t="s">
        <v>181</v>
      </c>
      <c r="G43" s="20" t="s">
        <v>158</v>
      </c>
      <c r="H43" s="20"/>
      <c r="I43" s="20"/>
    </row>
    <row r="44" spans="1:39" s="7" customFormat="1" ht="29.25">
      <c r="A44" s="21" t="s">
        <v>182</v>
      </c>
      <c r="B44" s="20"/>
      <c r="C44" s="20" t="s">
        <v>18</v>
      </c>
      <c r="D44" s="20"/>
      <c r="E44" s="20" t="s">
        <v>183</v>
      </c>
      <c r="F44" s="20" t="s">
        <v>184</v>
      </c>
      <c r="G44" s="20" t="s">
        <v>158</v>
      </c>
      <c r="H44" s="20" t="s">
        <v>185</v>
      </c>
      <c r="I44" s="20"/>
    </row>
    <row r="45" spans="1:39" s="7" customFormat="1">
      <c r="A45" s="21" t="s">
        <v>186</v>
      </c>
      <c r="B45" s="20"/>
      <c r="C45" s="20" t="s">
        <v>18</v>
      </c>
      <c r="D45" s="20"/>
      <c r="E45" s="20"/>
      <c r="F45" s="20" t="s">
        <v>187</v>
      </c>
      <c r="G45" s="20" t="s">
        <v>158</v>
      </c>
      <c r="H45" s="20"/>
      <c r="I45" s="20"/>
    </row>
    <row r="46" spans="1:39" s="7" customFormat="1" ht="43.5">
      <c r="A46" s="24" t="s">
        <v>188</v>
      </c>
      <c r="B46" s="24" t="s">
        <v>31</v>
      </c>
      <c r="C46" s="24" t="s">
        <v>189</v>
      </c>
      <c r="D46" s="24" t="s">
        <v>26</v>
      </c>
      <c r="E46" s="24"/>
      <c r="F46" s="24" t="s">
        <v>190</v>
      </c>
      <c r="G46" s="24" t="s">
        <v>191</v>
      </c>
      <c r="H46" s="24" t="s">
        <v>192</v>
      </c>
      <c r="I46" s="24"/>
    </row>
    <row r="47" spans="1:39" s="7" customFormat="1">
      <c r="A47" s="21" t="s">
        <v>193</v>
      </c>
      <c r="B47" s="20"/>
      <c r="C47" s="20" t="s">
        <v>18</v>
      </c>
      <c r="D47" s="20"/>
      <c r="E47" s="20" t="s">
        <v>194</v>
      </c>
      <c r="F47" s="20" t="s">
        <v>195</v>
      </c>
      <c r="G47" s="20" t="s">
        <v>158</v>
      </c>
      <c r="H47" s="20"/>
      <c r="I47" s="20"/>
    </row>
    <row r="48" spans="1:39" s="7" customFormat="1" ht="29.25">
      <c r="A48" s="28" t="s">
        <v>196</v>
      </c>
      <c r="B48" s="28" t="s">
        <v>197</v>
      </c>
      <c r="C48" s="28" t="s">
        <v>198</v>
      </c>
      <c r="D48" s="28" t="s">
        <v>12</v>
      </c>
      <c r="E48" s="28"/>
      <c r="F48" s="28"/>
      <c r="G48" s="28"/>
      <c r="H48" s="28"/>
      <c r="I48" s="28"/>
    </row>
    <row r="49" spans="1:39" s="7" customFormat="1" ht="29.25">
      <c r="A49" s="28" t="s">
        <v>199</v>
      </c>
      <c r="B49" s="28" t="s">
        <v>200</v>
      </c>
      <c r="C49" s="28"/>
      <c r="D49" s="28" t="s">
        <v>12</v>
      </c>
      <c r="E49" s="28"/>
      <c r="F49" s="28"/>
      <c r="G49" s="28"/>
      <c r="H49" s="28"/>
      <c r="I49" s="28"/>
    </row>
    <row r="50" spans="1:39" s="12" customFormat="1" ht="29.25">
      <c r="A50" s="28" t="s">
        <v>201</v>
      </c>
      <c r="B50" s="28" t="s">
        <v>31</v>
      </c>
      <c r="C50" s="28" t="s">
        <v>202</v>
      </c>
      <c r="D50" s="28" t="s">
        <v>33</v>
      </c>
      <c r="E50" s="28"/>
      <c r="F50" s="28"/>
      <c r="G50" s="28" t="s">
        <v>203</v>
      </c>
      <c r="H50" s="28"/>
      <c r="I50" s="28"/>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row>
    <row r="51" spans="1:39" s="7" customFormat="1" ht="29.25">
      <c r="A51" s="32" t="s">
        <v>204</v>
      </c>
      <c r="B51" s="32"/>
      <c r="C51" s="32" t="s">
        <v>205</v>
      </c>
      <c r="D51" s="24"/>
      <c r="E51" s="24" t="s">
        <v>206</v>
      </c>
      <c r="F51" s="24" t="s">
        <v>207</v>
      </c>
      <c r="G51" s="24" t="s">
        <v>158</v>
      </c>
      <c r="H51" s="24" t="s">
        <v>208</v>
      </c>
      <c r="I51" s="24"/>
    </row>
    <row r="52" spans="1:39" s="54" customFormat="1">
      <c r="A52" s="27" t="s">
        <v>209</v>
      </c>
      <c r="B52" s="28"/>
      <c r="C52" s="28" t="s">
        <v>18</v>
      </c>
      <c r="D52" s="28"/>
      <c r="E52" s="28"/>
      <c r="F52" s="28"/>
      <c r="G52" s="28"/>
      <c r="H52" s="28"/>
      <c r="I52" s="28"/>
    </row>
    <row r="53" spans="1:39" s="7" customFormat="1" ht="87">
      <c r="A53" s="26" t="s">
        <v>210</v>
      </c>
      <c r="B53" s="26" t="s">
        <v>31</v>
      </c>
      <c r="C53" s="26" t="s">
        <v>211</v>
      </c>
      <c r="D53" s="26" t="s">
        <v>26</v>
      </c>
      <c r="E53" s="26" t="s">
        <v>212</v>
      </c>
      <c r="F53" s="31" t="s">
        <v>213</v>
      </c>
      <c r="G53" s="48" t="s">
        <v>214</v>
      </c>
      <c r="H53" s="34" t="s">
        <v>215</v>
      </c>
      <c r="I53" s="31"/>
      <c r="J53" s="11"/>
    </row>
    <row r="54" spans="1:39" s="7" customFormat="1">
      <c r="A54" s="15" t="s">
        <v>216</v>
      </c>
      <c r="B54" s="15" t="s">
        <v>31</v>
      </c>
      <c r="C54" s="15" t="s">
        <v>211</v>
      </c>
      <c r="D54" s="15" t="s">
        <v>26</v>
      </c>
      <c r="E54" s="15"/>
      <c r="F54" s="15"/>
      <c r="G54" s="15"/>
      <c r="H54" s="36"/>
      <c r="I54" s="15"/>
    </row>
    <row r="55" spans="1:39" s="7" customFormat="1" ht="43.5">
      <c r="A55" s="21" t="s">
        <v>217</v>
      </c>
      <c r="B55" s="20" t="s">
        <v>218</v>
      </c>
      <c r="C55" s="20" t="s">
        <v>18</v>
      </c>
      <c r="D55" s="20"/>
      <c r="E55" s="20" t="s">
        <v>219</v>
      </c>
      <c r="F55" s="20" t="s">
        <v>220</v>
      </c>
      <c r="G55" s="20" t="s">
        <v>158</v>
      </c>
      <c r="H55" s="50"/>
      <c r="I55" s="20"/>
    </row>
    <row r="56" spans="1:39" s="7" customFormat="1" ht="57.75">
      <c r="A56" s="26" t="s">
        <v>221</v>
      </c>
      <c r="B56" s="26" t="s">
        <v>222</v>
      </c>
      <c r="C56" s="26" t="s">
        <v>223</v>
      </c>
      <c r="D56" s="26" t="s">
        <v>26</v>
      </c>
      <c r="E56" s="26" t="s">
        <v>224</v>
      </c>
      <c r="F56" s="31" t="s">
        <v>225</v>
      </c>
      <c r="G56" s="26" t="s">
        <v>226</v>
      </c>
      <c r="H56" s="34" t="s">
        <v>227</v>
      </c>
      <c r="I56" s="31" t="s">
        <v>228</v>
      </c>
    </row>
    <row r="57" spans="1:39" s="7" customFormat="1" ht="43.5">
      <c r="A57" s="26" t="s">
        <v>229</v>
      </c>
      <c r="B57" s="26" t="s">
        <v>230</v>
      </c>
      <c r="C57" s="26" t="s">
        <v>231</v>
      </c>
      <c r="D57" s="26" t="s">
        <v>26</v>
      </c>
      <c r="E57" s="26" t="s">
        <v>232</v>
      </c>
      <c r="F57" s="26" t="s">
        <v>233</v>
      </c>
      <c r="G57" s="26" t="s">
        <v>234</v>
      </c>
      <c r="H57" s="55" t="s">
        <v>235</v>
      </c>
      <c r="I57" s="26"/>
    </row>
    <row r="58" spans="1:39" s="7" customFormat="1">
      <c r="A58" s="27" t="s">
        <v>236</v>
      </c>
      <c r="B58" s="28"/>
      <c r="C58" s="28" t="s">
        <v>18</v>
      </c>
      <c r="D58" s="28"/>
      <c r="E58" s="28" t="s">
        <v>237</v>
      </c>
      <c r="F58" s="28" t="s">
        <v>238</v>
      </c>
      <c r="G58" s="28" t="s">
        <v>158</v>
      </c>
      <c r="H58" s="28"/>
      <c r="I58" s="28"/>
    </row>
    <row r="59" spans="1:39" s="7" customFormat="1" ht="43.5">
      <c r="A59" s="21" t="s">
        <v>239</v>
      </c>
      <c r="B59" s="20"/>
      <c r="C59" s="20" t="s">
        <v>240</v>
      </c>
      <c r="D59" s="20"/>
      <c r="E59" s="20" t="s">
        <v>241</v>
      </c>
      <c r="F59" s="20"/>
      <c r="G59" s="20" t="s">
        <v>242</v>
      </c>
      <c r="H59" s="20" t="s">
        <v>243</v>
      </c>
      <c r="I59" s="20"/>
    </row>
    <row r="60" spans="1:39" s="7" customFormat="1" ht="57.75">
      <c r="A60" s="26" t="s">
        <v>244</v>
      </c>
      <c r="B60" s="26" t="s">
        <v>31</v>
      </c>
      <c r="C60" s="26" t="s">
        <v>245</v>
      </c>
      <c r="D60" s="26" t="s">
        <v>12</v>
      </c>
      <c r="E60" s="26" t="s">
        <v>246</v>
      </c>
      <c r="F60" s="26" t="s">
        <v>247</v>
      </c>
      <c r="G60" s="26" t="s">
        <v>158</v>
      </c>
      <c r="H60" s="26" t="s">
        <v>248</v>
      </c>
      <c r="I60" s="26" t="s">
        <v>249</v>
      </c>
    </row>
    <row r="61" spans="1:39" s="7" customFormat="1" ht="43.5">
      <c r="A61" s="15" t="s">
        <v>250</v>
      </c>
      <c r="B61" s="15"/>
      <c r="C61" s="15" t="s">
        <v>251</v>
      </c>
      <c r="D61" s="15"/>
      <c r="E61" s="15" t="s">
        <v>252</v>
      </c>
      <c r="F61" s="35" t="s">
        <v>253</v>
      </c>
      <c r="G61" s="15" t="s">
        <v>254</v>
      </c>
      <c r="H61" s="15" t="s">
        <v>255</v>
      </c>
      <c r="I61" s="15"/>
    </row>
    <row r="62" spans="1:39" s="7" customFormat="1" ht="29.25">
      <c r="A62" s="15" t="s">
        <v>256</v>
      </c>
      <c r="B62" s="15" t="s">
        <v>257</v>
      </c>
      <c r="C62" s="15" t="s">
        <v>258</v>
      </c>
      <c r="D62" s="15" t="s">
        <v>33</v>
      </c>
      <c r="E62" s="15"/>
      <c r="F62" s="15" t="s">
        <v>259</v>
      </c>
      <c r="G62" s="19" t="s">
        <v>260</v>
      </c>
      <c r="H62" s="15" t="s">
        <v>261</v>
      </c>
      <c r="I62" s="15"/>
    </row>
    <row r="63" spans="1:39" s="7" customFormat="1">
      <c r="A63" s="21" t="s">
        <v>262</v>
      </c>
      <c r="B63" s="20"/>
      <c r="C63" s="20" t="s">
        <v>18</v>
      </c>
      <c r="D63" s="20"/>
      <c r="E63" s="20" t="s">
        <v>263</v>
      </c>
      <c r="F63" s="20" t="s">
        <v>264</v>
      </c>
      <c r="G63" s="20" t="s">
        <v>158</v>
      </c>
      <c r="H63" s="20"/>
      <c r="I63" s="20"/>
    </row>
    <row r="64" spans="1:39" s="8" customFormat="1" ht="29.25">
      <c r="A64" s="29" t="s">
        <v>265</v>
      </c>
      <c r="B64" s="24" t="s">
        <v>31</v>
      </c>
      <c r="C64" s="24" t="s">
        <v>266</v>
      </c>
      <c r="D64" s="24" t="s">
        <v>52</v>
      </c>
      <c r="E64" s="24"/>
      <c r="F64" s="24"/>
      <c r="G64" s="24" t="s">
        <v>267</v>
      </c>
      <c r="H64" s="24"/>
      <c r="I64" s="24"/>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row>
    <row r="65" spans="1:39" s="7" customFormat="1">
      <c r="A65" s="21" t="s">
        <v>268</v>
      </c>
      <c r="B65" s="20"/>
      <c r="C65" s="20" t="s">
        <v>18</v>
      </c>
      <c r="D65" s="20"/>
      <c r="E65" s="20" t="s">
        <v>269</v>
      </c>
      <c r="F65" s="20" t="s">
        <v>270</v>
      </c>
      <c r="G65" s="20" t="s">
        <v>158</v>
      </c>
      <c r="H65" s="15"/>
      <c r="I65" s="15"/>
    </row>
    <row r="66" spans="1:39" s="8" customFormat="1" ht="29.25">
      <c r="A66" s="24" t="s">
        <v>271</v>
      </c>
      <c r="B66" s="24" t="s">
        <v>31</v>
      </c>
      <c r="C66" s="24" t="s">
        <v>272</v>
      </c>
      <c r="D66" s="24" t="s">
        <v>12</v>
      </c>
      <c r="E66" s="24" t="s">
        <v>273</v>
      </c>
      <c r="F66" s="37" t="s">
        <v>274</v>
      </c>
      <c r="G66" s="24" t="s">
        <v>275</v>
      </c>
      <c r="H66" s="24" t="s">
        <v>276</v>
      </c>
      <c r="I66" s="24"/>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row>
    <row r="67" spans="1:39" s="7" customFormat="1" ht="29.25">
      <c r="A67" s="15" t="s">
        <v>277</v>
      </c>
      <c r="B67" s="15" t="s">
        <v>278</v>
      </c>
      <c r="C67" s="15" t="s">
        <v>279</v>
      </c>
      <c r="D67" s="15" t="s">
        <v>12</v>
      </c>
      <c r="E67" s="15"/>
      <c r="F67" s="15"/>
      <c r="G67" s="15"/>
      <c r="H67" s="15"/>
      <c r="I67" s="15"/>
    </row>
    <row r="68" spans="1:39" s="7" customFormat="1" ht="29.25">
      <c r="A68" s="21" t="s">
        <v>280</v>
      </c>
      <c r="B68" s="20"/>
      <c r="C68" s="20" t="s">
        <v>18</v>
      </c>
      <c r="D68" s="20"/>
      <c r="E68" s="20" t="s">
        <v>281</v>
      </c>
      <c r="F68" s="20" t="s">
        <v>282</v>
      </c>
      <c r="G68" s="20" t="s">
        <v>158</v>
      </c>
      <c r="H68" s="20"/>
      <c r="I68" s="20"/>
    </row>
    <row r="69" spans="1:39" s="7" customFormat="1" ht="29.25">
      <c r="A69" s="15" t="s">
        <v>283</v>
      </c>
      <c r="B69" s="15" t="s">
        <v>284</v>
      </c>
      <c r="C69" s="15"/>
      <c r="D69" s="15" t="s">
        <v>12</v>
      </c>
      <c r="E69" s="15"/>
      <c r="F69" s="15"/>
      <c r="G69" s="15"/>
      <c r="H69" s="15"/>
      <c r="I69" s="15"/>
    </row>
    <row r="70" spans="1:39" s="7" customFormat="1">
      <c r="A70" s="20" t="s">
        <v>285</v>
      </c>
      <c r="B70" s="20" t="s">
        <v>286</v>
      </c>
      <c r="C70" s="20" t="s">
        <v>18</v>
      </c>
      <c r="D70" s="20" t="s">
        <v>12</v>
      </c>
      <c r="E70" s="20" t="s">
        <v>287</v>
      </c>
      <c r="F70" s="20" t="s">
        <v>287</v>
      </c>
      <c r="G70" s="20" t="s">
        <v>158</v>
      </c>
      <c r="H70" s="20"/>
      <c r="I70" s="20"/>
    </row>
    <row r="71" spans="1:39" s="7" customFormat="1" ht="29.25">
      <c r="A71" s="18" t="s">
        <v>288</v>
      </c>
      <c r="B71" s="15" t="s">
        <v>10</v>
      </c>
      <c r="C71" s="15" t="s">
        <v>289</v>
      </c>
      <c r="D71" s="15" t="s">
        <v>12</v>
      </c>
      <c r="E71" s="15" t="s">
        <v>290</v>
      </c>
      <c r="F71" s="38" t="s">
        <v>291</v>
      </c>
      <c r="G71" s="15"/>
      <c r="H71" s="15" t="s">
        <v>292</v>
      </c>
      <c r="I71" s="15"/>
    </row>
    <row r="72" spans="1:39" s="7" customFormat="1">
      <c r="A72" s="22" t="s">
        <v>293</v>
      </c>
      <c r="B72" s="22" t="s">
        <v>10</v>
      </c>
      <c r="C72" s="22" t="s">
        <v>25</v>
      </c>
      <c r="D72" s="22" t="s">
        <v>26</v>
      </c>
      <c r="E72" s="22" t="s">
        <v>83</v>
      </c>
      <c r="F72" s="23" t="s">
        <v>169</v>
      </c>
      <c r="G72" s="22" t="s">
        <v>170</v>
      </c>
      <c r="H72" s="22"/>
      <c r="I72" s="22"/>
    </row>
    <row r="73" spans="1:39" s="7" customFormat="1">
      <c r="A73" s="20" t="s">
        <v>294</v>
      </c>
      <c r="B73" s="20"/>
      <c r="C73" s="20" t="s">
        <v>18</v>
      </c>
      <c r="D73" s="20"/>
      <c r="E73" s="20" t="s">
        <v>295</v>
      </c>
      <c r="F73" s="20" t="s">
        <v>296</v>
      </c>
      <c r="G73" s="20" t="s">
        <v>158</v>
      </c>
      <c r="H73" s="20"/>
      <c r="I73" s="20"/>
    </row>
    <row r="74" spans="1:39" s="7" customFormat="1" ht="29.25">
      <c r="A74" s="15" t="s">
        <v>297</v>
      </c>
      <c r="B74" s="15" t="s">
        <v>31</v>
      </c>
      <c r="C74" s="15" t="s">
        <v>298</v>
      </c>
      <c r="D74" s="15" t="s">
        <v>26</v>
      </c>
      <c r="E74" s="15"/>
      <c r="F74" s="15"/>
      <c r="G74" s="15"/>
      <c r="H74" s="15"/>
      <c r="I74" s="15"/>
    </row>
    <row r="75" spans="1:39" s="7" customFormat="1" ht="57.75">
      <c r="A75" s="22" t="s">
        <v>299</v>
      </c>
      <c r="B75" s="22" t="s">
        <v>31</v>
      </c>
      <c r="C75" s="22" t="s">
        <v>56</v>
      </c>
      <c r="D75" s="22" t="s">
        <v>26</v>
      </c>
      <c r="E75" s="22"/>
      <c r="F75" s="23" t="s">
        <v>300</v>
      </c>
      <c r="G75" s="22" t="s">
        <v>301</v>
      </c>
      <c r="H75" s="22"/>
      <c r="I75" s="22"/>
    </row>
    <row r="76" spans="1:39" s="7" customFormat="1">
      <c r="A76" s="21" t="s">
        <v>302</v>
      </c>
      <c r="B76" s="20"/>
      <c r="C76" s="20" t="s">
        <v>18</v>
      </c>
      <c r="D76" s="20"/>
      <c r="E76" s="20" t="s">
        <v>303</v>
      </c>
      <c r="F76" s="20" t="s">
        <v>304</v>
      </c>
      <c r="G76" s="20" t="s">
        <v>158</v>
      </c>
      <c r="H76" s="20"/>
      <c r="I76" s="20"/>
    </row>
    <row r="77" spans="1:39" s="7" customFormat="1" ht="29.25">
      <c r="A77" s="20" t="s">
        <v>305</v>
      </c>
      <c r="B77" s="20" t="s">
        <v>31</v>
      </c>
      <c r="C77" s="20" t="s">
        <v>306</v>
      </c>
      <c r="D77" s="20" t="s">
        <v>33</v>
      </c>
      <c r="E77" s="20" t="s">
        <v>307</v>
      </c>
      <c r="F77" s="39" t="s">
        <v>308</v>
      </c>
      <c r="G77" s="20" t="s">
        <v>158</v>
      </c>
      <c r="H77" s="20"/>
      <c r="I77" s="20"/>
    </row>
    <row r="78" spans="1:39" s="7" customFormat="1" ht="94.5" customHeight="1">
      <c r="A78" s="26" t="s">
        <v>309</v>
      </c>
      <c r="B78" s="26" t="s">
        <v>310</v>
      </c>
      <c r="C78" s="26" t="s">
        <v>311</v>
      </c>
      <c r="D78" s="26" t="s">
        <v>26</v>
      </c>
      <c r="E78" s="26" t="s">
        <v>312</v>
      </c>
      <c r="F78" s="26" t="s">
        <v>313</v>
      </c>
      <c r="G78" s="26" t="s">
        <v>314</v>
      </c>
      <c r="H78" s="26"/>
      <c r="I78" s="26"/>
    </row>
    <row r="79" spans="1:39" s="7" customFormat="1" ht="57.75">
      <c r="A79" s="22" t="s">
        <v>315</v>
      </c>
      <c r="B79" s="22" t="s">
        <v>163</v>
      </c>
      <c r="C79" s="22" t="s">
        <v>164</v>
      </c>
      <c r="D79" s="22" t="s">
        <v>26</v>
      </c>
      <c r="E79" s="22"/>
      <c r="F79" s="23" t="s">
        <v>316</v>
      </c>
      <c r="G79" s="22" t="s">
        <v>317</v>
      </c>
      <c r="H79" s="22"/>
      <c r="I79" s="22"/>
    </row>
    <row r="80" spans="1:39" s="7" customFormat="1">
      <c r="A80" s="18" t="s">
        <v>318</v>
      </c>
      <c r="B80" s="15" t="s">
        <v>10</v>
      </c>
      <c r="C80" s="15" t="s">
        <v>319</v>
      </c>
      <c r="D80" s="15" t="s">
        <v>12</v>
      </c>
      <c r="E80" s="15"/>
      <c r="F80" s="15"/>
      <c r="G80" s="15"/>
      <c r="H80" s="15" t="s">
        <v>320</v>
      </c>
      <c r="I80" s="15"/>
    </row>
    <row r="81" spans="1:39" s="7" customFormat="1" ht="43.5">
      <c r="A81" s="22" t="s">
        <v>321</v>
      </c>
      <c r="B81" s="22" t="s">
        <v>10</v>
      </c>
      <c r="C81" s="22" t="s">
        <v>93</v>
      </c>
      <c r="D81" s="22" t="s">
        <v>26</v>
      </c>
      <c r="E81" s="22" t="s">
        <v>27</v>
      </c>
      <c r="F81" s="23" t="s">
        <v>322</v>
      </c>
      <c r="G81" s="22" t="s">
        <v>323</v>
      </c>
      <c r="H81" s="22"/>
      <c r="I81" s="22"/>
    </row>
    <row r="82" spans="1:39" s="7" customFormat="1">
      <c r="A82" s="28" t="s">
        <v>324</v>
      </c>
      <c r="B82" s="28"/>
      <c r="C82" s="28" t="s">
        <v>18</v>
      </c>
      <c r="D82" s="28"/>
      <c r="E82" s="28" t="s">
        <v>325</v>
      </c>
      <c r="F82" s="28" t="s">
        <v>326</v>
      </c>
      <c r="G82" s="28" t="s">
        <v>158</v>
      </c>
      <c r="H82" s="28"/>
      <c r="I82" s="28"/>
    </row>
    <row r="83" spans="1:39" s="7" customFormat="1">
      <c r="A83" s="20" t="s">
        <v>327</v>
      </c>
      <c r="B83" s="20"/>
      <c r="C83" s="20" t="s">
        <v>18</v>
      </c>
      <c r="D83" s="20"/>
      <c r="E83" s="20" t="s">
        <v>328</v>
      </c>
      <c r="F83" s="20" t="s">
        <v>329</v>
      </c>
      <c r="G83" s="20" t="s">
        <v>158</v>
      </c>
      <c r="H83" s="20"/>
      <c r="I83" s="20"/>
    </row>
    <row r="84" spans="1:39" s="7" customFormat="1">
      <c r="A84" s="21" t="s">
        <v>330</v>
      </c>
      <c r="B84" s="20"/>
      <c r="C84" s="20" t="s">
        <v>18</v>
      </c>
      <c r="D84" s="20"/>
      <c r="E84" s="20" t="s">
        <v>331</v>
      </c>
      <c r="F84" s="20" t="s">
        <v>332</v>
      </c>
      <c r="G84" s="20" t="s">
        <v>158</v>
      </c>
      <c r="H84" s="20"/>
      <c r="I84" s="20"/>
    </row>
    <row r="85" spans="1:39" s="9" customFormat="1" ht="29.25">
      <c r="A85" s="40" t="s">
        <v>333</v>
      </c>
      <c r="B85" s="20" t="s">
        <v>10</v>
      </c>
      <c r="C85" s="20" t="s">
        <v>334</v>
      </c>
      <c r="D85" s="20" t="s">
        <v>52</v>
      </c>
      <c r="E85" s="20"/>
      <c r="F85" s="20"/>
      <c r="G85" s="20"/>
      <c r="H85" s="20"/>
      <c r="I85" s="20"/>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row>
    <row r="86" spans="1:39" s="8" customFormat="1" ht="29.25">
      <c r="A86" s="29" t="s">
        <v>335</v>
      </c>
      <c r="B86" s="24" t="s">
        <v>10</v>
      </c>
      <c r="C86" s="24" t="s">
        <v>336</v>
      </c>
      <c r="D86" s="24" t="s">
        <v>12</v>
      </c>
      <c r="E86" s="24"/>
      <c r="F86" s="24"/>
      <c r="G86" s="24"/>
      <c r="H86" s="24"/>
      <c r="I86" s="24"/>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row>
    <row r="87" spans="1:39" s="8" customFormat="1" ht="29.25">
      <c r="A87" s="24" t="s">
        <v>337</v>
      </c>
      <c r="B87" s="24"/>
      <c r="C87" s="24" t="s">
        <v>338</v>
      </c>
      <c r="D87" s="24"/>
      <c r="E87" s="24" t="s">
        <v>339</v>
      </c>
      <c r="F87" s="24" t="s">
        <v>340</v>
      </c>
      <c r="G87" s="24" t="s">
        <v>341</v>
      </c>
      <c r="H87" s="24" t="s">
        <v>342</v>
      </c>
      <c r="I87" s="24"/>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row>
    <row r="88" spans="1:39" s="7" customFormat="1" ht="57.75">
      <c r="A88" s="22" t="s">
        <v>343</v>
      </c>
      <c r="B88" s="22" t="s">
        <v>344</v>
      </c>
      <c r="C88" s="22" t="s">
        <v>56</v>
      </c>
      <c r="D88" s="22" t="s">
        <v>26</v>
      </c>
      <c r="E88" s="22" t="s">
        <v>345</v>
      </c>
      <c r="F88" s="23" t="s">
        <v>346</v>
      </c>
      <c r="G88" s="22" t="s">
        <v>347</v>
      </c>
      <c r="H88" s="22"/>
      <c r="I88" s="22"/>
    </row>
    <row r="89" spans="1:39" s="7" customFormat="1" ht="29.25">
      <c r="A89" s="20" t="s">
        <v>348</v>
      </c>
      <c r="B89" s="20" t="s">
        <v>31</v>
      </c>
      <c r="C89" s="20" t="s">
        <v>349</v>
      </c>
      <c r="D89" s="20" t="s">
        <v>33</v>
      </c>
      <c r="E89" s="20" t="s">
        <v>350</v>
      </c>
      <c r="F89" s="20" t="s">
        <v>351</v>
      </c>
      <c r="G89" s="20" t="s">
        <v>158</v>
      </c>
      <c r="H89" s="20"/>
      <c r="I89" s="20"/>
    </row>
    <row r="90" spans="1:39" s="7" customFormat="1">
      <c r="A90" s="56" t="s">
        <v>352</v>
      </c>
      <c r="B90" s="28" t="s">
        <v>10</v>
      </c>
      <c r="C90" s="28" t="s">
        <v>353</v>
      </c>
      <c r="D90" s="28" t="s">
        <v>12</v>
      </c>
      <c r="E90" s="28"/>
      <c r="F90" s="28"/>
      <c r="G90" s="28"/>
      <c r="H90" s="28"/>
      <c r="I90" s="28"/>
    </row>
    <row r="91" spans="1:39" s="7" customFormat="1" ht="29.25">
      <c r="A91" s="15" t="s">
        <v>354</v>
      </c>
      <c r="B91" s="15" t="s">
        <v>355</v>
      </c>
      <c r="C91" s="15"/>
      <c r="D91" s="15" t="s">
        <v>33</v>
      </c>
      <c r="E91" s="15"/>
      <c r="F91" s="15"/>
      <c r="G91" s="15"/>
      <c r="H91" s="15"/>
      <c r="I91" s="15"/>
    </row>
    <row r="92" spans="1:39" s="7" customFormat="1">
      <c r="A92" s="15" t="s">
        <v>356</v>
      </c>
      <c r="B92" s="15" t="s">
        <v>31</v>
      </c>
      <c r="C92" s="15" t="s">
        <v>56</v>
      </c>
      <c r="D92" s="15" t="s">
        <v>12</v>
      </c>
      <c r="E92" s="15"/>
      <c r="F92" s="15"/>
      <c r="G92" s="15"/>
      <c r="H92" s="15"/>
      <c r="I92" s="15"/>
    </row>
    <row r="93" spans="1:39" s="7" customFormat="1" ht="29.25">
      <c r="A93" s="15" t="s">
        <v>357</v>
      </c>
      <c r="B93" s="15"/>
      <c r="C93" s="15" t="s">
        <v>358</v>
      </c>
      <c r="D93" s="15" t="s">
        <v>12</v>
      </c>
      <c r="E93" s="15"/>
      <c r="F93" s="15"/>
      <c r="G93" s="15"/>
      <c r="H93" s="15" t="s">
        <v>359</v>
      </c>
      <c r="I93" s="15"/>
    </row>
    <row r="94" spans="1:39" s="7" customFormat="1">
      <c r="A94" s="15" t="s">
        <v>360</v>
      </c>
      <c r="B94" s="15" t="s">
        <v>355</v>
      </c>
      <c r="C94" s="15" t="s">
        <v>56</v>
      </c>
      <c r="D94" s="15" t="s">
        <v>12</v>
      </c>
      <c r="E94" s="15"/>
      <c r="F94" s="15"/>
      <c r="G94" s="15"/>
      <c r="H94" s="15"/>
      <c r="I94" s="15"/>
    </row>
    <row r="95" spans="1:39" s="7" customFormat="1" ht="43.5">
      <c r="A95" s="26" t="s">
        <v>361</v>
      </c>
      <c r="B95" s="26" t="s">
        <v>362</v>
      </c>
      <c r="C95" s="26" t="s">
        <v>363</v>
      </c>
      <c r="D95" s="26" t="s">
        <v>26</v>
      </c>
      <c r="E95" s="26" t="s">
        <v>364</v>
      </c>
      <c r="F95" s="31" t="s">
        <v>365</v>
      </c>
      <c r="G95" s="26" t="s">
        <v>366</v>
      </c>
      <c r="H95" s="26" t="s">
        <v>367</v>
      </c>
      <c r="I95" s="26"/>
    </row>
    <row r="96" spans="1:39" s="7" customFormat="1">
      <c r="A96" s="15" t="s">
        <v>368</v>
      </c>
      <c r="B96" s="15"/>
      <c r="C96" s="15" t="s">
        <v>369</v>
      </c>
      <c r="D96" s="15"/>
      <c r="E96" s="15"/>
      <c r="F96" s="15"/>
      <c r="G96" s="15"/>
      <c r="H96" s="15"/>
      <c r="I96" s="15"/>
    </row>
    <row r="97" spans="1:9" s="7" customFormat="1">
      <c r="A97" s="33" t="s">
        <v>370</v>
      </c>
      <c r="B97" s="15"/>
      <c r="C97" s="15" t="s">
        <v>18</v>
      </c>
      <c r="D97" s="15"/>
      <c r="E97" s="15"/>
      <c r="F97" s="15"/>
      <c r="G97" s="15"/>
      <c r="H97" s="15"/>
      <c r="I97" s="15"/>
    </row>
    <row r="98" spans="1:9" s="7" customFormat="1" ht="29.25">
      <c r="A98" s="48" t="s">
        <v>371</v>
      </c>
      <c r="B98" s="48" t="s">
        <v>371</v>
      </c>
      <c r="C98" s="26" t="s">
        <v>372</v>
      </c>
      <c r="D98" s="26" t="s">
        <v>26</v>
      </c>
      <c r="E98" s="26"/>
      <c r="F98" s="26"/>
      <c r="G98" s="26"/>
      <c r="H98" s="26"/>
      <c r="I98" s="26"/>
    </row>
    <row r="99" spans="1:9" s="7" customFormat="1" ht="29.25">
      <c r="A99" s="48" t="s">
        <v>373</v>
      </c>
      <c r="B99" s="48" t="s">
        <v>373</v>
      </c>
      <c r="C99" s="26" t="s">
        <v>374</v>
      </c>
      <c r="D99" s="26" t="s">
        <v>26</v>
      </c>
      <c r="E99" s="26"/>
      <c r="F99" s="26"/>
      <c r="G99" s="26"/>
      <c r="H99" s="26"/>
      <c r="I99" s="26"/>
    </row>
    <row r="100" spans="1:9" s="7" customFormat="1" ht="29.25">
      <c r="A100" s="48" t="s">
        <v>375</v>
      </c>
      <c r="B100" s="48" t="s">
        <v>375</v>
      </c>
      <c r="C100" s="49" t="s">
        <v>376</v>
      </c>
      <c r="D100" s="26" t="s">
        <v>26</v>
      </c>
      <c r="E100" s="26"/>
      <c r="F100" s="26"/>
      <c r="G100" s="26"/>
      <c r="H100" s="26"/>
      <c r="I100" s="26"/>
    </row>
    <row r="101" spans="1:9" s="7" customFormat="1" ht="43.5">
      <c r="A101" s="48" t="s">
        <v>377</v>
      </c>
      <c r="B101" s="48" t="s">
        <v>377</v>
      </c>
      <c r="C101" s="49" t="s">
        <v>378</v>
      </c>
      <c r="D101" s="26" t="s">
        <v>26</v>
      </c>
      <c r="E101" s="26"/>
      <c r="F101" s="26"/>
      <c r="G101" s="26"/>
      <c r="H101" s="26"/>
      <c r="I101" s="26"/>
    </row>
    <row r="102" spans="1:9" s="7" customFormat="1" ht="29.25">
      <c r="A102" s="48" t="s">
        <v>379</v>
      </c>
      <c r="B102" s="48" t="s">
        <v>379</v>
      </c>
      <c r="C102" s="26" t="s">
        <v>380</v>
      </c>
      <c r="D102" s="26" t="s">
        <v>26</v>
      </c>
      <c r="E102" s="26"/>
      <c r="F102" s="26"/>
      <c r="G102" s="26"/>
      <c r="H102" s="26"/>
      <c r="I102" s="26"/>
    </row>
    <row r="103" spans="1:9" s="7" customFormat="1" ht="29.25">
      <c r="A103" s="48" t="s">
        <v>381</v>
      </c>
      <c r="B103" s="48" t="s">
        <v>381</v>
      </c>
      <c r="C103" s="26" t="s">
        <v>382</v>
      </c>
      <c r="D103" s="26" t="s">
        <v>26</v>
      </c>
      <c r="E103" s="26"/>
      <c r="F103" s="26"/>
      <c r="G103" s="26"/>
      <c r="H103" s="26"/>
      <c r="I103" s="26"/>
    </row>
    <row r="104" spans="1:9" s="7" customFormat="1">
      <c r="A104" s="48" t="s">
        <v>383</v>
      </c>
      <c r="B104" s="48" t="s">
        <v>383</v>
      </c>
      <c r="C104" s="26" t="s">
        <v>384</v>
      </c>
      <c r="D104" s="26" t="s">
        <v>26</v>
      </c>
      <c r="E104" s="26"/>
      <c r="F104" s="26"/>
      <c r="G104" s="26"/>
      <c r="H104" s="26"/>
      <c r="I104" s="26"/>
    </row>
    <row r="105" spans="1:9" s="7" customFormat="1" ht="29.25">
      <c r="A105" s="48" t="s">
        <v>385</v>
      </c>
      <c r="B105" s="48" t="s">
        <v>385</v>
      </c>
      <c r="C105" s="26" t="s">
        <v>386</v>
      </c>
      <c r="D105" s="26" t="s">
        <v>26</v>
      </c>
      <c r="E105" s="26"/>
      <c r="F105" s="26"/>
      <c r="G105" s="26"/>
      <c r="H105" s="26"/>
      <c r="I105" s="26"/>
    </row>
    <row r="106" spans="1:9" s="7" customFormat="1" ht="29.25">
      <c r="A106" s="48" t="s">
        <v>387</v>
      </c>
      <c r="B106" s="48" t="s">
        <v>387</v>
      </c>
      <c r="C106" s="26" t="s">
        <v>388</v>
      </c>
      <c r="D106" s="26" t="s">
        <v>26</v>
      </c>
      <c r="E106" s="26"/>
      <c r="F106" s="26"/>
      <c r="G106" s="26"/>
      <c r="H106" s="26"/>
      <c r="I106" s="26"/>
    </row>
    <row r="107" spans="1:9" s="7" customFormat="1" ht="29.25">
      <c r="A107" s="48" t="s">
        <v>389</v>
      </c>
      <c r="B107" s="48" t="s">
        <v>389</v>
      </c>
      <c r="C107" s="26" t="s">
        <v>390</v>
      </c>
      <c r="D107" s="26" t="s">
        <v>26</v>
      </c>
      <c r="E107" s="26"/>
      <c r="F107" s="26"/>
      <c r="G107" s="26"/>
      <c r="H107" s="26"/>
      <c r="I107" s="26"/>
    </row>
    <row r="108" spans="1:9" s="7" customFormat="1" ht="43.5">
      <c r="A108" s="48" t="s">
        <v>391</v>
      </c>
      <c r="B108" s="48" t="s">
        <v>391</v>
      </c>
      <c r="C108" s="26" t="s">
        <v>392</v>
      </c>
      <c r="D108" s="26" t="s">
        <v>26</v>
      </c>
      <c r="E108" s="26"/>
      <c r="F108" s="26"/>
      <c r="G108" s="26"/>
      <c r="H108" s="26"/>
      <c r="I108" s="26"/>
    </row>
    <row r="109" spans="1:9" s="7" customFormat="1" ht="29.25">
      <c r="A109" s="48" t="s">
        <v>393</v>
      </c>
      <c r="B109" s="48" t="s">
        <v>393</v>
      </c>
      <c r="C109" s="26" t="s">
        <v>394</v>
      </c>
      <c r="D109" s="26" t="s">
        <v>26</v>
      </c>
      <c r="E109" s="26"/>
      <c r="F109" s="26"/>
      <c r="G109" s="26"/>
      <c r="H109" s="26"/>
      <c r="I109" s="26"/>
    </row>
    <row r="110" spans="1:9" s="7" customFormat="1" ht="29.25">
      <c r="A110" s="49" t="s">
        <v>395</v>
      </c>
      <c r="B110" s="49" t="s">
        <v>395</v>
      </c>
      <c r="C110" s="26" t="s">
        <v>396</v>
      </c>
      <c r="D110" s="26" t="s">
        <v>26</v>
      </c>
      <c r="E110" s="26"/>
      <c r="F110" s="26"/>
      <c r="G110" s="26"/>
      <c r="H110" s="26"/>
      <c r="I110" s="26"/>
    </row>
    <row r="111" spans="1:9" s="7" customFormat="1" ht="29.25">
      <c r="A111" s="41" t="s">
        <v>397</v>
      </c>
      <c r="B111" s="41" t="s">
        <v>397</v>
      </c>
      <c r="C111" s="15" t="s">
        <v>396</v>
      </c>
      <c r="D111" s="15" t="s">
        <v>26</v>
      </c>
      <c r="E111" s="15"/>
      <c r="F111" s="15"/>
      <c r="G111" s="15"/>
      <c r="H111" s="15"/>
      <c r="I111" s="15"/>
    </row>
    <row r="112" spans="1:9" s="7" customFormat="1" ht="43.5">
      <c r="A112" s="42" t="s">
        <v>398</v>
      </c>
      <c r="B112" s="42" t="s">
        <v>398</v>
      </c>
      <c r="C112" s="24" t="s">
        <v>399</v>
      </c>
      <c r="D112" s="24" t="s">
        <v>26</v>
      </c>
      <c r="E112" s="24"/>
      <c r="F112" s="24"/>
      <c r="G112" s="24"/>
      <c r="H112" s="24"/>
      <c r="I112" s="24"/>
    </row>
    <row r="113" spans="1:9" s="7" customFormat="1" ht="29.25">
      <c r="A113" s="41" t="s">
        <v>400</v>
      </c>
      <c r="B113" s="41" t="s">
        <v>400</v>
      </c>
      <c r="C113" s="15" t="s">
        <v>401</v>
      </c>
      <c r="D113" s="15" t="s">
        <v>26</v>
      </c>
      <c r="E113" s="15"/>
      <c r="F113" s="15"/>
      <c r="G113" s="15"/>
      <c r="H113" s="15"/>
      <c r="I113" s="15"/>
    </row>
    <row r="114" spans="1:9" s="7" customFormat="1" ht="29.25">
      <c r="A114" s="42" t="s">
        <v>402</v>
      </c>
      <c r="B114" s="42" t="s">
        <v>402</v>
      </c>
      <c r="C114" s="24" t="s">
        <v>403</v>
      </c>
      <c r="D114" s="24" t="s">
        <v>26</v>
      </c>
      <c r="E114" s="24"/>
      <c r="F114" s="24"/>
      <c r="G114" s="24"/>
      <c r="H114" s="24"/>
      <c r="I114" s="24"/>
    </row>
    <row r="115" spans="1:9" s="7" customFormat="1" ht="29.25">
      <c r="A115" s="41" t="s">
        <v>404</v>
      </c>
      <c r="B115" s="41" t="s">
        <v>404</v>
      </c>
      <c r="C115" s="15" t="s">
        <v>401</v>
      </c>
      <c r="D115" s="15" t="s">
        <v>26</v>
      </c>
      <c r="E115" s="15"/>
      <c r="F115" s="15"/>
      <c r="G115" s="15"/>
      <c r="H115" s="15"/>
      <c r="I115" s="15"/>
    </row>
    <row r="116" spans="1:9" s="7" customFormat="1" ht="29.25">
      <c r="A116" s="41" t="s">
        <v>405</v>
      </c>
      <c r="B116" s="41" t="s">
        <v>405</v>
      </c>
      <c r="C116" s="15" t="s">
        <v>406</v>
      </c>
      <c r="D116" s="15" t="s">
        <v>26</v>
      </c>
      <c r="E116" s="15"/>
      <c r="F116" s="15"/>
      <c r="G116" s="15"/>
      <c r="H116" s="15"/>
      <c r="I116" s="15"/>
    </row>
    <row r="117" spans="1:9" s="7" customFormat="1" ht="29.25">
      <c r="A117" s="46" t="s">
        <v>407</v>
      </c>
      <c r="B117" s="46" t="s">
        <v>407</v>
      </c>
      <c r="C117" s="47" t="s">
        <v>408</v>
      </c>
      <c r="D117" s="47" t="s">
        <v>26</v>
      </c>
      <c r="E117" s="47"/>
      <c r="F117" s="47"/>
      <c r="G117" s="47"/>
      <c r="H117" s="47"/>
      <c r="I117" s="47"/>
    </row>
    <row r="118" spans="1:9">
      <c r="A118" s="44" t="s">
        <v>409</v>
      </c>
      <c r="B118" s="44" t="s">
        <v>410</v>
      </c>
      <c r="C118" s="15" t="s">
        <v>411</v>
      </c>
      <c r="D118" s="15" t="s">
        <v>26</v>
      </c>
      <c r="E118" s="44"/>
      <c r="F118" s="45"/>
      <c r="G118" s="44"/>
      <c r="H118" s="44"/>
      <c r="I118" s="44"/>
    </row>
    <row r="119" spans="1:9">
      <c r="A119" s="44" t="s">
        <v>412</v>
      </c>
      <c r="B119" s="44" t="s">
        <v>413</v>
      </c>
      <c r="C119" s="15" t="s">
        <v>414</v>
      </c>
      <c r="D119" s="15" t="s">
        <v>26</v>
      </c>
      <c r="E119" s="44"/>
      <c r="F119" s="45"/>
      <c r="G119" s="44"/>
      <c r="H119" s="44"/>
      <c r="I119" s="44"/>
    </row>
    <row r="120" spans="1:9">
      <c r="D120" s="7"/>
    </row>
    <row r="121" spans="1:9"/>
    <row r="122" spans="1:9"/>
    <row r="123" spans="1:9"/>
    <row r="124" spans="1:9"/>
    <row r="125" spans="1:9"/>
    <row r="126" spans="1:9"/>
    <row r="127" spans="1:9"/>
    <row r="128" spans="1:9"/>
    <row r="129"/>
    <row r="130"/>
    <row r="131"/>
  </sheetData>
  <autoFilter ref="A2:AM119" xr:uid="{08F70059-D330-4D6A-AAAD-7E535501D3E4}"/>
  <sortState xmlns:xlrd2="http://schemas.microsoft.com/office/spreadsheetml/2017/richdata2" ref="A110:XFC117">
    <sortCondition ref="A110:A117"/>
  </sortState>
  <hyperlinks>
    <hyperlink ref="H21" r:id="rId1" xr:uid="{5B4D3886-3CA6-4040-93FD-C79310EE3329}"/>
    <hyperlink ref="F95" r:id="rId2" xr:uid="{5413E7DC-0081-470C-BF5B-E1E3C9D90725}"/>
    <hyperlink ref="F6" r:id="rId3" xr:uid="{B4607B05-27C9-4F29-ABD2-398C4FADD9C1}"/>
    <hyperlink ref="F72" r:id="rId4" xr:uid="{3E7BB012-6742-45EE-8242-51BF1CD4D6AE}"/>
    <hyperlink ref="F56" r:id="rId5" xr:uid="{66E2B8C4-8A30-4FB3-8D19-0F669E0773D1}"/>
    <hyperlink ref="F14" r:id="rId6" xr:uid="{BAA698BC-C05D-4065-B825-C7880AFCF0AF}"/>
    <hyperlink ref="F18" r:id="rId7" xr:uid="{AC7C6D34-BF16-4C07-82D5-E5D2806ACCF3}"/>
    <hyperlink ref="F75" r:id="rId8" xr:uid="{4502CED1-3FF8-49C9-8D34-9169E68A2E36}"/>
    <hyperlink ref="F88" r:id="rId9" xr:uid="{1D706250-F2D0-4ABC-BE73-68AEEFBE80D8}"/>
    <hyperlink ref="F79" r:id="rId10" xr:uid="{5F2B53DD-0CC2-4FFB-8B39-BB078E95F914}"/>
    <hyperlink ref="F38" r:id="rId11" display="wnct@westnorthumberland.org.uk: clerk@corbridgeparishcouncil.gov.uk" xr:uid="{0C981BE5-3E2E-44E7-A02F-32B1A1C67E56}"/>
    <hyperlink ref="F77" r:id="rId12" display="r.i.waller@keele.ac.uk; " xr:uid="{B139B607-F754-4409-B1AA-C823A135D615}"/>
    <hyperlink ref="F81" r:id="rId13" xr:uid="{27EE1758-83F8-457C-8BD4-AB7AF7DBDFA8}"/>
    <hyperlink ref="F7" r:id="rId14" xr:uid="{182E6032-FA3D-4E89-9308-BC6847DFF376}"/>
    <hyperlink ref="F35" r:id="rId15" xr:uid="{F5B54193-90A8-4948-BDD8-766D3700200E}"/>
    <hyperlink ref="F53" r:id="rId16" xr:uid="{6423A627-BE68-435D-812C-CD282D2DAC8F}"/>
    <hyperlink ref="I56" r:id="rId17" xr:uid="{F58E90B3-E9B1-443A-92C6-AD932D9FFDA4}"/>
    <hyperlink ref="F3" r:id="rId18" xr:uid="{61CD5397-AB8E-4DBC-BA47-FEBAD99BCFCB}"/>
    <hyperlink ref="F13" r:id="rId19" xr:uid="{5CB73D70-8459-4A79-9110-5D46946A8E78}"/>
    <hyperlink ref="F15" r:id="rId20" xr:uid="{40ACC2B1-79AE-4BCF-BB15-5E4926F67014}"/>
    <hyperlink ref="F26" r:id="rId21" xr:uid="{F3829956-8EB0-4B50-9E22-58BACB6A2682}"/>
    <hyperlink ref="F34" r:id="rId22" xr:uid="{19AD4FBD-54F5-4722-8FB3-7495407BBEFE}"/>
    <hyperlink ref="F61" r:id="rId23" xr:uid="{BEAF0C8A-0ECB-49A2-95C3-930288B3BCF2}"/>
    <hyperlink ref="G62" r:id="rId24" xr:uid="{8B24519E-E07A-430A-BE2B-50A7965ED0C3}"/>
    <hyperlink ref="F66" r:id="rId25" display="'steph.graham@longtowncc.co.uk'" xr:uid="{953B92D0-747A-41E5-BB4E-53E98B3F8499}"/>
    <hyperlink ref="F71" r:id="rId26" xr:uid="{389CCEFC-4BD0-474B-909A-BED5C508DFBC}"/>
    <hyperlink ref="F25" r:id="rId27" xr:uid="{13882763-2A2F-4F0F-A6C2-CA3E1CEF006F}"/>
  </hyperlinks>
  <pageMargins left="0.7" right="0.7" top="0.75" bottom="0.75" header="0.3" footer="0.3"/>
  <pageSetup paperSize="9" orientation="portrait" r:id="rId2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B2F3D-7F6C-46AB-8A0A-EB5EC41B3077}">
  <dimension ref="A1:F58"/>
  <sheetViews>
    <sheetView workbookViewId="0">
      <selection activeCell="M7" sqref="M7"/>
    </sheetView>
  </sheetViews>
  <sheetFormatPr defaultRowHeight="14.45"/>
  <cols>
    <col min="1" max="1" width="24" customWidth="1"/>
    <col min="2" max="2" width="19.28515625" customWidth="1"/>
    <col min="3" max="3" width="32.5703125" customWidth="1"/>
    <col min="4" max="5" width="13" customWidth="1"/>
    <col min="6" max="6" width="31.7109375" customWidth="1"/>
  </cols>
  <sheetData>
    <row r="1" spans="1:6" s="3" customFormat="1" ht="46.5">
      <c r="A1" s="2" t="s">
        <v>415</v>
      </c>
      <c r="B1" s="2" t="s">
        <v>416</v>
      </c>
      <c r="C1" s="2" t="s">
        <v>417</v>
      </c>
      <c r="D1" s="2" t="s">
        <v>418</v>
      </c>
      <c r="E1" s="2" t="s">
        <v>419</v>
      </c>
      <c r="F1" s="2" t="s">
        <v>420</v>
      </c>
    </row>
    <row r="2" spans="1:6" s="3" customFormat="1" ht="15">
      <c r="A2" s="4" t="s">
        <v>421</v>
      </c>
      <c r="B2" s="4" t="s">
        <v>422</v>
      </c>
      <c r="C2" s="4" t="s">
        <v>423</v>
      </c>
      <c r="D2" s="4" t="s">
        <v>424</v>
      </c>
      <c r="E2" s="4" t="s">
        <v>424</v>
      </c>
      <c r="F2" s="4" t="s">
        <v>425</v>
      </c>
    </row>
    <row r="3" spans="1:6" s="3" customFormat="1" ht="15">
      <c r="A3" s="4" t="s">
        <v>426</v>
      </c>
      <c r="B3" s="4" t="s">
        <v>422</v>
      </c>
      <c r="C3" s="4" t="s">
        <v>423</v>
      </c>
      <c r="D3" s="4" t="s">
        <v>424</v>
      </c>
      <c r="E3" s="4" t="s">
        <v>424</v>
      </c>
      <c r="F3" s="4" t="s">
        <v>425</v>
      </c>
    </row>
    <row r="4" spans="1:6" s="3" customFormat="1" ht="29.25">
      <c r="A4" s="4" t="s">
        <v>204</v>
      </c>
      <c r="B4" s="4" t="s">
        <v>422</v>
      </c>
      <c r="C4" s="4" t="s">
        <v>205</v>
      </c>
      <c r="D4" s="4" t="s">
        <v>424</v>
      </c>
      <c r="E4" s="4" t="s">
        <v>424</v>
      </c>
      <c r="F4" s="4" t="s">
        <v>425</v>
      </c>
    </row>
    <row r="5" spans="1:6" s="3" customFormat="1" ht="43.5">
      <c r="A5" s="4" t="s">
        <v>427</v>
      </c>
      <c r="B5" s="4" t="s">
        <v>26</v>
      </c>
      <c r="C5" s="4" t="s">
        <v>428</v>
      </c>
      <c r="D5" s="4"/>
      <c r="E5" s="4"/>
      <c r="F5" s="4"/>
    </row>
    <row r="6" spans="1:6" s="3" customFormat="1" ht="43.5">
      <c r="A6" s="4" t="s">
        <v>429</v>
      </c>
      <c r="B6" s="4" t="s">
        <v>26</v>
      </c>
      <c r="C6" s="4" t="s">
        <v>428</v>
      </c>
      <c r="D6" s="4"/>
      <c r="E6" s="4"/>
      <c r="F6" s="4"/>
    </row>
    <row r="7" spans="1:6" s="3" customFormat="1" ht="43.5">
      <c r="A7" s="4" t="s">
        <v>430</v>
      </c>
      <c r="B7" s="4" t="s">
        <v>26</v>
      </c>
      <c r="C7" s="4" t="s">
        <v>428</v>
      </c>
      <c r="D7" s="4"/>
      <c r="E7" s="4"/>
      <c r="F7" s="4"/>
    </row>
    <row r="8" spans="1:6" s="3" customFormat="1" ht="43.5">
      <c r="A8" s="4" t="s">
        <v>361</v>
      </c>
      <c r="B8" s="4" t="s">
        <v>26</v>
      </c>
      <c r="C8" s="4" t="s">
        <v>428</v>
      </c>
      <c r="D8" s="4"/>
      <c r="E8" s="4"/>
      <c r="F8" s="4"/>
    </row>
    <row r="9" spans="1:6" s="3" customFormat="1" ht="43.5">
      <c r="A9" s="4" t="s">
        <v>210</v>
      </c>
      <c r="B9" s="4" t="s">
        <v>26</v>
      </c>
      <c r="C9" s="4" t="s">
        <v>428</v>
      </c>
      <c r="D9" s="4"/>
      <c r="E9" s="4"/>
      <c r="F9" s="4"/>
    </row>
    <row r="10" spans="1:6" s="3" customFormat="1" ht="15">
      <c r="A10" s="4" t="s">
        <v>431</v>
      </c>
      <c r="B10" s="4" t="s">
        <v>422</v>
      </c>
      <c r="C10" s="4" t="s">
        <v>432</v>
      </c>
      <c r="D10" s="4" t="s">
        <v>424</v>
      </c>
      <c r="E10" s="4" t="s">
        <v>433</v>
      </c>
      <c r="F10" s="4"/>
    </row>
    <row r="11" spans="1:6" s="3" customFormat="1" ht="15">
      <c r="A11" s="4" t="s">
        <v>107</v>
      </c>
      <c r="B11" s="4" t="s">
        <v>422</v>
      </c>
      <c r="C11" s="4"/>
      <c r="D11" s="4" t="s">
        <v>424</v>
      </c>
      <c r="E11" s="4" t="s">
        <v>424</v>
      </c>
      <c r="F11" s="4" t="s">
        <v>425</v>
      </c>
    </row>
    <row r="12" spans="1:6" s="3" customFormat="1" ht="15">
      <c r="A12" s="4" t="s">
        <v>178</v>
      </c>
      <c r="B12" s="4" t="s">
        <v>422</v>
      </c>
      <c r="C12" s="4"/>
      <c r="D12" s="4" t="s">
        <v>424</v>
      </c>
      <c r="E12" s="4" t="s">
        <v>433</v>
      </c>
      <c r="F12" s="4"/>
    </row>
    <row r="13" spans="1:6" s="3" customFormat="1" ht="15">
      <c r="A13" s="4" t="s">
        <v>123</v>
      </c>
      <c r="B13" s="4" t="s">
        <v>422</v>
      </c>
      <c r="C13" s="4"/>
      <c r="D13" s="4" t="s">
        <v>424</v>
      </c>
      <c r="E13" s="4" t="s">
        <v>433</v>
      </c>
      <c r="F13" s="4" t="s">
        <v>6</v>
      </c>
    </row>
    <row r="14" spans="1:6" s="3" customFormat="1" ht="15">
      <c r="A14" s="4" t="s">
        <v>305</v>
      </c>
      <c r="B14" s="4" t="s">
        <v>422</v>
      </c>
      <c r="C14" s="4"/>
      <c r="D14" s="4" t="s">
        <v>424</v>
      </c>
      <c r="E14" s="4" t="s">
        <v>433</v>
      </c>
      <c r="F14" s="4" t="s">
        <v>6</v>
      </c>
    </row>
    <row r="15" spans="1:6" s="3" customFormat="1" ht="15">
      <c r="A15" s="4" t="s">
        <v>434</v>
      </c>
      <c r="B15" s="4" t="s">
        <v>422</v>
      </c>
      <c r="C15" s="4"/>
      <c r="D15" s="4" t="s">
        <v>424</v>
      </c>
      <c r="E15" s="4" t="s">
        <v>433</v>
      </c>
      <c r="F15" s="4" t="s">
        <v>6</v>
      </c>
    </row>
    <row r="16" spans="1:6" s="3" customFormat="1" ht="15">
      <c r="A16" s="4" t="s">
        <v>435</v>
      </c>
      <c r="B16" s="4" t="s">
        <v>26</v>
      </c>
      <c r="C16" s="4"/>
      <c r="D16" s="4" t="s">
        <v>424</v>
      </c>
      <c r="E16" s="4" t="s">
        <v>433</v>
      </c>
      <c r="F16" s="4" t="s">
        <v>6</v>
      </c>
    </row>
    <row r="17" spans="1:6" s="3" customFormat="1" ht="15">
      <c r="A17" s="4" t="s">
        <v>86</v>
      </c>
      <c r="B17" s="4" t="s">
        <v>26</v>
      </c>
      <c r="C17" s="4"/>
      <c r="D17" s="4" t="s">
        <v>424</v>
      </c>
      <c r="E17" s="4" t="s">
        <v>433</v>
      </c>
      <c r="F17" s="4" t="s">
        <v>6</v>
      </c>
    </row>
    <row r="18" spans="1:6" s="3" customFormat="1" ht="15">
      <c r="A18" s="4" t="s">
        <v>436</v>
      </c>
      <c r="B18" s="4" t="s">
        <v>422</v>
      </c>
      <c r="C18" s="4"/>
      <c r="D18" s="4" t="s">
        <v>424</v>
      </c>
      <c r="E18" s="4" t="s">
        <v>424</v>
      </c>
      <c r="F18" s="4" t="s">
        <v>425</v>
      </c>
    </row>
    <row r="19" spans="1:6" s="3" customFormat="1" ht="29.25">
      <c r="A19" s="4" t="s">
        <v>324</v>
      </c>
      <c r="B19" s="4" t="s">
        <v>422</v>
      </c>
      <c r="C19" s="4" t="s">
        <v>437</v>
      </c>
      <c r="D19" s="4" t="s">
        <v>424</v>
      </c>
      <c r="E19" s="4" t="s">
        <v>424</v>
      </c>
      <c r="F19" s="4" t="s">
        <v>6</v>
      </c>
    </row>
    <row r="20" spans="1:6" s="3" customFormat="1" ht="15">
      <c r="A20" s="4" t="s">
        <v>438</v>
      </c>
      <c r="B20" s="4" t="s">
        <v>422</v>
      </c>
      <c r="C20" s="4"/>
      <c r="D20" s="4" t="s">
        <v>424</v>
      </c>
      <c r="E20" s="4" t="s">
        <v>424</v>
      </c>
      <c r="F20" s="4" t="s">
        <v>6</v>
      </c>
    </row>
    <row r="21" spans="1:6" s="3" customFormat="1" ht="15">
      <c r="A21" s="4" t="s">
        <v>439</v>
      </c>
      <c r="B21" s="4" t="s">
        <v>422</v>
      </c>
      <c r="C21" s="4"/>
      <c r="D21" s="4" t="s">
        <v>424</v>
      </c>
      <c r="E21" s="4" t="s">
        <v>424</v>
      </c>
      <c r="F21" s="4" t="s">
        <v>6</v>
      </c>
    </row>
    <row r="22" spans="1:6" s="3" customFormat="1" ht="29.25">
      <c r="A22" s="4" t="s">
        <v>135</v>
      </c>
      <c r="B22" s="4" t="s">
        <v>422</v>
      </c>
      <c r="C22" s="4"/>
      <c r="D22" s="4" t="s">
        <v>424</v>
      </c>
      <c r="E22" s="4" t="s">
        <v>424</v>
      </c>
      <c r="F22" s="4" t="s">
        <v>425</v>
      </c>
    </row>
    <row r="23" spans="1:6" s="3" customFormat="1" ht="15">
      <c r="A23" s="4" t="s">
        <v>217</v>
      </c>
      <c r="B23" s="4" t="s">
        <v>422</v>
      </c>
      <c r="C23" s="4"/>
      <c r="D23" s="4" t="s">
        <v>424</v>
      </c>
      <c r="E23" s="4" t="s">
        <v>424</v>
      </c>
      <c r="F23" s="4" t="s">
        <v>425</v>
      </c>
    </row>
    <row r="24" spans="1:6" s="3" customFormat="1" ht="15">
      <c r="A24" s="4" t="s">
        <v>440</v>
      </c>
      <c r="B24" s="4" t="s">
        <v>422</v>
      </c>
      <c r="C24" s="4"/>
      <c r="D24" s="4" t="s">
        <v>424</v>
      </c>
      <c r="E24" s="4" t="s">
        <v>424</v>
      </c>
      <c r="F24" s="4" t="s">
        <v>425</v>
      </c>
    </row>
    <row r="25" spans="1:6" s="3" customFormat="1" ht="15">
      <c r="A25" s="4" t="s">
        <v>441</v>
      </c>
      <c r="B25" s="4" t="s">
        <v>422</v>
      </c>
      <c r="C25" s="4"/>
      <c r="D25" s="4" t="s">
        <v>424</v>
      </c>
      <c r="E25" s="4" t="s">
        <v>424</v>
      </c>
      <c r="F25" s="4" t="s">
        <v>442</v>
      </c>
    </row>
    <row r="26" spans="1:6" s="3" customFormat="1" ht="15">
      <c r="A26" s="4" t="s">
        <v>128</v>
      </c>
      <c r="B26" s="4" t="s">
        <v>422</v>
      </c>
      <c r="C26" s="4"/>
      <c r="D26" s="4" t="s">
        <v>424</v>
      </c>
      <c r="E26" s="4" t="s">
        <v>424</v>
      </c>
      <c r="F26" s="4" t="s">
        <v>425</v>
      </c>
    </row>
    <row r="27" spans="1:6" s="3" customFormat="1" ht="15">
      <c r="A27" s="4" t="s">
        <v>21</v>
      </c>
      <c r="B27" s="4" t="s">
        <v>422</v>
      </c>
      <c r="C27" s="4"/>
      <c r="D27" s="4" t="s">
        <v>424</v>
      </c>
      <c r="E27" s="4" t="s">
        <v>424</v>
      </c>
      <c r="F27" s="4" t="s">
        <v>425</v>
      </c>
    </row>
    <row r="28" spans="1:6" s="3" customFormat="1" ht="29.25">
      <c r="A28" s="4" t="s">
        <v>443</v>
      </c>
      <c r="B28" s="4" t="s">
        <v>422</v>
      </c>
      <c r="C28" s="4"/>
      <c r="D28" s="4" t="s">
        <v>424</v>
      </c>
      <c r="E28" s="4" t="s">
        <v>424</v>
      </c>
      <c r="F28" s="4" t="s">
        <v>425</v>
      </c>
    </row>
    <row r="29" spans="1:6" s="3" customFormat="1" ht="15">
      <c r="A29" s="4" t="s">
        <v>444</v>
      </c>
      <c r="B29" s="4" t="s">
        <v>422</v>
      </c>
      <c r="C29" s="4"/>
      <c r="D29" s="4" t="s">
        <v>424</v>
      </c>
      <c r="E29" s="4" t="s">
        <v>424</v>
      </c>
      <c r="F29" s="4" t="s">
        <v>425</v>
      </c>
    </row>
    <row r="30" spans="1:6" s="3" customFormat="1" ht="15">
      <c r="A30" s="4" t="s">
        <v>262</v>
      </c>
      <c r="B30" s="4" t="s">
        <v>422</v>
      </c>
      <c r="C30" s="4"/>
      <c r="D30" s="4" t="s">
        <v>424</v>
      </c>
      <c r="E30" s="4" t="s">
        <v>424</v>
      </c>
      <c r="F30" s="4" t="s">
        <v>425</v>
      </c>
    </row>
    <row r="31" spans="1:6" s="3" customFormat="1" ht="43.5">
      <c r="A31" s="4" t="s">
        <v>268</v>
      </c>
      <c r="B31" s="4" t="s">
        <v>422</v>
      </c>
      <c r="C31" s="4"/>
      <c r="D31" s="4" t="s">
        <v>424</v>
      </c>
      <c r="E31" s="4" t="s">
        <v>424</v>
      </c>
      <c r="F31" s="4" t="s">
        <v>425</v>
      </c>
    </row>
    <row r="32" spans="1:6" s="3" customFormat="1" ht="15">
      <c r="A32" s="4" t="s">
        <v>330</v>
      </c>
      <c r="B32" s="4" t="s">
        <v>422</v>
      </c>
      <c r="C32" s="4"/>
      <c r="D32" s="4" t="s">
        <v>424</v>
      </c>
      <c r="E32" s="4" t="s">
        <v>424</v>
      </c>
      <c r="F32" s="4" t="s">
        <v>425</v>
      </c>
    </row>
    <row r="33" spans="1:6" s="3" customFormat="1" ht="15">
      <c r="A33" s="4" t="s">
        <v>131</v>
      </c>
      <c r="B33" s="4" t="s">
        <v>422</v>
      </c>
      <c r="C33" s="4"/>
      <c r="D33" s="4" t="s">
        <v>424</v>
      </c>
      <c r="E33" s="4" t="s">
        <v>424</v>
      </c>
      <c r="F33" s="4" t="s">
        <v>425</v>
      </c>
    </row>
    <row r="34" spans="1:6" s="3" customFormat="1" ht="101.25">
      <c r="A34" s="4" t="s">
        <v>193</v>
      </c>
      <c r="B34" s="4" t="s">
        <v>422</v>
      </c>
      <c r="C34" s="4" t="s">
        <v>445</v>
      </c>
      <c r="D34" s="4" t="s">
        <v>424</v>
      </c>
      <c r="E34" s="4" t="s">
        <v>424</v>
      </c>
      <c r="F34" s="4" t="s">
        <v>425</v>
      </c>
    </row>
    <row r="35" spans="1:6" s="3" customFormat="1" ht="15">
      <c r="A35" s="4" t="s">
        <v>236</v>
      </c>
      <c r="B35" s="4" t="s">
        <v>422</v>
      </c>
      <c r="C35" s="4"/>
      <c r="D35" s="4" t="s">
        <v>424</v>
      </c>
      <c r="E35" s="4" t="s">
        <v>424</v>
      </c>
      <c r="F35" s="4" t="s">
        <v>425</v>
      </c>
    </row>
    <row r="36" spans="1:6" s="3" customFormat="1" ht="15">
      <c r="A36" s="4" t="s">
        <v>370</v>
      </c>
      <c r="B36" s="4" t="s">
        <v>422</v>
      </c>
      <c r="C36" s="4"/>
      <c r="D36" s="4" t="s">
        <v>424</v>
      </c>
      <c r="E36" s="4" t="s">
        <v>424</v>
      </c>
      <c r="F36" s="4" t="s">
        <v>425</v>
      </c>
    </row>
    <row r="37" spans="1:6" s="3" customFormat="1" ht="15">
      <c r="A37" s="4" t="s">
        <v>104</v>
      </c>
      <c r="B37" s="4" t="s">
        <v>422</v>
      </c>
      <c r="C37" s="4"/>
      <c r="D37" s="4" t="s">
        <v>424</v>
      </c>
      <c r="E37" s="4" t="s">
        <v>424</v>
      </c>
      <c r="F37" s="4" t="s">
        <v>425</v>
      </c>
    </row>
    <row r="38" spans="1:6" s="3" customFormat="1" ht="29.25">
      <c r="A38" s="4" t="s">
        <v>280</v>
      </c>
      <c r="B38" s="4" t="s">
        <v>422</v>
      </c>
      <c r="C38" s="4"/>
      <c r="D38" s="4" t="s">
        <v>424</v>
      </c>
      <c r="E38" s="4" t="s">
        <v>424</v>
      </c>
      <c r="F38" s="4" t="s">
        <v>425</v>
      </c>
    </row>
    <row r="39" spans="1:6" s="3" customFormat="1" ht="43.5">
      <c r="A39" s="4" t="s">
        <v>446</v>
      </c>
      <c r="B39" s="4" t="s">
        <v>26</v>
      </c>
      <c r="C39" s="4" t="s">
        <v>447</v>
      </c>
      <c r="D39" s="4" t="s">
        <v>424</v>
      </c>
      <c r="E39" s="4" t="s">
        <v>424</v>
      </c>
      <c r="F39" s="4" t="s">
        <v>425</v>
      </c>
    </row>
    <row r="40" spans="1:6" s="3" customFormat="1" ht="29.25">
      <c r="A40" s="4" t="s">
        <v>182</v>
      </c>
      <c r="B40" s="4" t="s">
        <v>422</v>
      </c>
      <c r="C40" s="4"/>
      <c r="D40" s="4" t="s">
        <v>424</v>
      </c>
      <c r="E40" s="4" t="s">
        <v>424</v>
      </c>
      <c r="F40" s="4" t="s">
        <v>425</v>
      </c>
    </row>
    <row r="41" spans="1:6" s="3" customFormat="1" ht="15">
      <c r="A41" s="4" t="s">
        <v>209</v>
      </c>
      <c r="B41" s="4" t="s">
        <v>422</v>
      </c>
      <c r="C41" s="5" t="s">
        <v>448</v>
      </c>
      <c r="D41" s="4" t="s">
        <v>424</v>
      </c>
      <c r="E41" s="4" t="s">
        <v>424</v>
      </c>
      <c r="F41" s="4" t="s">
        <v>425</v>
      </c>
    </row>
    <row r="42" spans="1:6" s="3" customFormat="1"/>
    <row r="43" spans="1:6" s="3" customFormat="1"/>
    <row r="44" spans="1:6" s="3" customFormat="1"/>
    <row r="45" spans="1:6" s="3" customFormat="1"/>
    <row r="46" spans="1:6" s="3" customFormat="1"/>
    <row r="47" spans="1:6" s="3" customFormat="1"/>
    <row r="48" spans="1:6" s="3" customFormat="1"/>
    <row r="49" s="3" customFormat="1"/>
    <row r="50" s="3" customFormat="1"/>
    <row r="51" s="3" customFormat="1"/>
    <row r="52" s="3" customFormat="1"/>
    <row r="53" s="3" customFormat="1"/>
    <row r="54" s="3" customFormat="1"/>
    <row r="55" s="3" customFormat="1"/>
    <row r="56" s="3" customFormat="1"/>
    <row r="57" s="3" customFormat="1"/>
    <row r="58" s="3" customForma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9E699-42EB-4CBC-81F3-DE850CF933BC}">
  <dimension ref="A1:A6"/>
  <sheetViews>
    <sheetView workbookViewId="0">
      <selection activeCell="A26" sqref="A26"/>
    </sheetView>
  </sheetViews>
  <sheetFormatPr defaultRowHeight="14.45"/>
  <sheetData>
    <row r="1" spans="1:1">
      <c r="A1" s="1">
        <v>6670</v>
      </c>
    </row>
    <row r="2" spans="1:1">
      <c r="A2" s="1">
        <v>8680</v>
      </c>
    </row>
    <row r="3" spans="1:1">
      <c r="A3" s="1">
        <v>4300</v>
      </c>
    </row>
    <row r="4" spans="1:1">
      <c r="A4" s="1">
        <v>18900</v>
      </c>
    </row>
    <row r="5" spans="1:1">
      <c r="A5" s="1">
        <v>11450</v>
      </c>
    </row>
    <row r="6" spans="1:1">
      <c r="A6">
        <f>SUM(A1:A5)</f>
        <v>50000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e91967a-b315-49b7-8a12-4ff768a18b1b">
      <Terms xmlns="http://schemas.microsoft.com/office/infopath/2007/PartnerControls"/>
    </lcf76f155ced4ddcb4097134ff3c332f>
    <TaxCatchAll xmlns="1bd6720f-6be1-462b-8110-7b27280a561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7A5FE1E23B4F046B805F782D7F1D7AC" ma:contentTypeVersion="11" ma:contentTypeDescription="Create a new document." ma:contentTypeScope="" ma:versionID="fb086970fd018784490247009b818439">
  <xsd:schema xmlns:xsd="http://www.w3.org/2001/XMLSchema" xmlns:xs="http://www.w3.org/2001/XMLSchema" xmlns:p="http://schemas.microsoft.com/office/2006/metadata/properties" xmlns:ns2="fe91967a-b315-49b7-8a12-4ff768a18b1b" xmlns:ns3="1bd6720f-6be1-462b-8110-7b27280a5611" targetNamespace="http://schemas.microsoft.com/office/2006/metadata/properties" ma:root="true" ma:fieldsID="e3c6242b642cabf2022bb0a54473d19e" ns2:_="" ns3:_="">
    <xsd:import namespace="fe91967a-b315-49b7-8a12-4ff768a18b1b"/>
    <xsd:import namespace="1bd6720f-6be1-462b-8110-7b27280a561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91967a-b315-49b7-8a12-4ff768a18b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61ed848-f122-40dd-9b85-96d7fbf1c18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d6720f-6be1-462b-8110-7b27280a561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1f3bd9-a49f-4cdf-a96b-19958c2d6215}" ma:internalName="TaxCatchAll" ma:showField="CatchAllData" ma:web="1bd6720f-6be1-462b-8110-7b27280a56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5EF206-0D38-42FE-AD35-F1B43A363533}"/>
</file>

<file path=customXml/itemProps2.xml><?xml version="1.0" encoding="utf-8"?>
<ds:datastoreItem xmlns:ds="http://schemas.openxmlformats.org/officeDocument/2006/customXml" ds:itemID="{42C42C3E-24EA-4C6A-B728-E0B292A43E75}"/>
</file>

<file path=customXml/itemProps3.xml><?xml version="1.0" encoding="utf-8"?>
<ds:datastoreItem xmlns:ds="http://schemas.openxmlformats.org/officeDocument/2006/customXml" ds:itemID="{1DD6D269-6A72-4412-9CF5-328DA6B52D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Susan Ross</dc:creator>
  <cp:keywords/>
  <dc:description/>
  <cp:lastModifiedBy/>
  <cp:revision/>
  <dcterms:created xsi:type="dcterms:W3CDTF">2026-01-27T16:49:27Z</dcterms:created>
  <dcterms:modified xsi:type="dcterms:W3CDTF">2026-06-17T17:41:11Z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0x01010067A5FE1E23B4F046B805F782D7F1D7AC</vt:lpwstr>
  </property>
  <property fmtid="{D5CDD505-2E9C-101B-9397-08002B2CF9AE}" pid="3" name="MediaServiceImageTags">
    <vt:lpwstr/>
  </property>
</Properties>
</file>